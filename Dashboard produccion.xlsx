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1012d8dff0312a/Documents/Portafolio_OEE/"/>
    </mc:Choice>
  </mc:AlternateContent>
  <xr:revisionPtr revIDLastSave="270" documentId="8_{96FEF927-FFDD-44AE-977A-340C834CA859}" xr6:coauthVersionLast="47" xr6:coauthVersionMax="47" xr10:uidLastSave="{A791AAF5-EB37-4317-B52E-A3FDA17B15E5}"/>
  <bookViews>
    <workbookView xWindow="-108" yWindow="-108" windowWidth="23256" windowHeight="12456" activeTab="3" xr2:uid="{6B2CAE14-C56E-4250-AE34-213635269952}"/>
  </bookViews>
  <sheets>
    <sheet name="producccion_oee" sheetId="2" r:id="rId1"/>
    <sheet name="paros_export" sheetId="3" r:id="rId2"/>
    <sheet name="Analisis" sheetId="1" r:id="rId3"/>
    <sheet name="Dashboard" sheetId="4" r:id="rId4"/>
  </sheets>
  <definedNames>
    <definedName name="_xlchart.v1.0" hidden="1">paros_export!$F$2:$F$1582</definedName>
    <definedName name="_xlchart.v1.1" hidden="1">paros_export!$G$1</definedName>
    <definedName name="_xlchart.v1.10" hidden="1">paros_export!$G$1</definedName>
    <definedName name="_xlchart.v1.11" hidden="1">paros_export!$G$2:$G$1582</definedName>
    <definedName name="_xlchart.v1.2" hidden="1">paros_export!$G$2:$G$1582</definedName>
    <definedName name="_xlchart.v1.3" hidden="1">paros_export!$F$2:$F$1582</definedName>
    <definedName name="_xlchart.v1.4" hidden="1">paros_export!$G$1</definedName>
    <definedName name="_xlchart.v1.5" hidden="1">paros_export!$G$2:$G$1582</definedName>
    <definedName name="_xlchart.v1.6" hidden="1">paros_export!$F$2:$F$1582</definedName>
    <definedName name="_xlchart.v1.7" hidden="1">paros_export!$G$1</definedName>
    <definedName name="_xlchart.v1.8" hidden="1">paros_export!$G$2:$G$1582</definedName>
    <definedName name="_xlchart.v1.9" hidden="1">paros_export!$F$2:$F$1582</definedName>
    <definedName name="DatosExternos_1" localSheetId="1" hidden="1">paros_export!$A$1:$G$1582</definedName>
    <definedName name="DatosExternos_1" localSheetId="0" hidden="1">producccion_oee!$A$1:$O$1081</definedName>
    <definedName name="SegmentaciónDeDatos_Días__Fecha">#N/A</definedName>
    <definedName name="SegmentaciónDeDatos_Maquina">#N/A</definedName>
    <definedName name="SegmentaciónDeDatos_Turno">#N/A</definedName>
  </definedNames>
  <calcPr calcId="191029"/>
  <pivotCaches>
    <pivotCache cacheId="0" r:id="rId5"/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C15" i="1"/>
  <c r="C16" i="1"/>
  <c r="C13" i="1"/>
  <c r="E4" i="1"/>
  <c r="D4" i="1"/>
  <c r="C4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8A30D9-CCC2-4F53-98D5-51A9CB2372A0}" keepAlive="1" name="Consulta - paros_export" description="Conexión a la consulta 'paros_export' en el libro." type="5" refreshedVersion="8" background="1" saveData="1">
    <dbPr connection="Provider=Microsoft.Mashup.OleDb.1;Data Source=$Workbook$;Location=paros_export;Extended Properties=&quot;&quot;" command="SELECT * FROM [paros_export]"/>
  </connection>
  <connection id="2" xr16:uid="{DA097305-AA4A-4F60-A4BA-B12BCC437E4D}" keepAlive="1" name="Consulta - producccion_oee" description="Conexión a la consulta 'producccion_oee' en el libro." type="5" refreshedVersion="8" background="1" saveData="1">
    <dbPr connection="Provider=Microsoft.Mashup.OleDb.1;Data Source=$Workbook$;Location=producccion_oee;Extended Properties=&quot;&quot;" command="SELECT * FROM [producccion_oee]"/>
  </connection>
</connections>
</file>

<file path=xl/sharedStrings.xml><?xml version="1.0" encoding="utf-8"?>
<sst xmlns="http://schemas.openxmlformats.org/spreadsheetml/2006/main" count="6976" uniqueCount="52">
  <si>
    <t>Registro_ID</t>
  </si>
  <si>
    <t>Fecha</t>
  </si>
  <si>
    <t>Turno</t>
  </si>
  <si>
    <t>Maquina</t>
  </si>
  <si>
    <t>Tiempo_Planeado_min</t>
  </si>
  <si>
    <t>Downtime_Total_min</t>
  </si>
  <si>
    <t>Piezas_Producidas</t>
  </si>
  <si>
    <t>Piezas_Buenas</t>
  </si>
  <si>
    <t>Piezas_Defectuosas</t>
  </si>
  <si>
    <t>Ciclo_ideal_seg</t>
  </si>
  <si>
    <t>Tiempo_Operativo_min</t>
  </si>
  <si>
    <t>Disponibilidad</t>
  </si>
  <si>
    <t>Rendimiento</t>
  </si>
  <si>
    <t>Calidad</t>
  </si>
  <si>
    <t>OEE</t>
  </si>
  <si>
    <t>Mañana</t>
  </si>
  <si>
    <t>M1</t>
  </si>
  <si>
    <t>M2</t>
  </si>
  <si>
    <t>M3</t>
  </si>
  <si>
    <t>M4</t>
  </si>
  <si>
    <t>Tarde</t>
  </si>
  <si>
    <t>Noche</t>
  </si>
  <si>
    <t>Paro_ID</t>
  </si>
  <si>
    <t>Causa_Paro</t>
  </si>
  <si>
    <t>Duracion_min</t>
  </si>
  <si>
    <t>Falla mecánica</t>
  </si>
  <si>
    <t>Falta de material</t>
  </si>
  <si>
    <t>Cambio de herramienta</t>
  </si>
  <si>
    <t>Mantenimiento no programado</t>
  </si>
  <si>
    <t>Falta de operador</t>
  </si>
  <si>
    <t>Ajuste de calidad</t>
  </si>
  <si>
    <t>PROMEDIO OEE</t>
  </si>
  <si>
    <t>DISPONIBILIDAD</t>
  </si>
  <si>
    <t>RENDIMIENTO</t>
  </si>
  <si>
    <t>CALIDAD</t>
  </si>
  <si>
    <t>Etiquetas de fila</t>
  </si>
  <si>
    <t>Total general</t>
  </si>
  <si>
    <t>Promedio de OEE</t>
  </si>
  <si>
    <t>01/01/2025 - 07/01/2025</t>
  </si>
  <si>
    <t>08/01/2025 - 14/01/2025</t>
  </si>
  <si>
    <t>15/01/2025 - 21/01/2025</t>
  </si>
  <si>
    <t>22/01/2025 - 28/01/2025</t>
  </si>
  <si>
    <t>29/01/2025 - 04/02/2025</t>
  </si>
  <si>
    <t>05/02/2025 - 11/02/2025</t>
  </si>
  <si>
    <t>12/02/2025 - 18/02/2025</t>
  </si>
  <si>
    <t>19/02/2025 - 25/02/2025</t>
  </si>
  <si>
    <t>26/02/2025 - 04/03/2025</t>
  </si>
  <si>
    <t>05/03/2025 - 11/03/2025</t>
  </si>
  <si>
    <t>12/03/2025 - 18/03/2025</t>
  </si>
  <si>
    <t>19/03/2025 - 25/03/2025</t>
  </si>
  <si>
    <t>26/03/2025 - 01/04/2025</t>
  </si>
  <si>
    <t>Suma de Duracion_min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</si>
</sst>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0" fontId="0" fillId="0" borderId="0" xfId="0" applyNumberFormat="1"/>
  </cellXfs>
  <cellStyles count="2">
    <cellStyle name="Normal" xfId="0" builtinId="0"/>
    <cellStyle name="Porcentaje" xfId="1" builtinId="5"/>
  </cellStyles>
  <dxfs count="111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0.0%"/>
    </dxf>
    <dxf>
      <numFmt numFmtId="164" formatCode="0.0%"/>
    </dxf>
    <dxf>
      <font>
        <strike val="0"/>
        <color theme="0"/>
      </font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Estilo de segmentación de datos 1" pivot="0" table="0" count="3" xr9:uid="{FB9F84F8-C659-4103-9BE4-469750D374C5}">
      <tableStyleElement type="headerRow" dxfId="110"/>
    </tableStyle>
  </tableStyles>
  <colors>
    <mruColors>
      <color rgb="FF003366"/>
    </mruColors>
  </colors>
  <extLst>
    <ext xmlns:x14="http://schemas.microsoft.com/office/spreadsheetml/2009/9/main" uri="{46F421CA-312F-682f-3DD2-61675219B42D}">
      <x14:dxfs count="2">
        <dxf>
          <font>
            <color theme="0"/>
            <name val="Bahnschrift"/>
            <family val="2"/>
            <scheme val="none"/>
          </font>
          <fill>
            <patternFill>
              <bgColor theme="4"/>
            </patternFill>
          </fill>
        </dxf>
        <dxf>
          <font>
            <color theme="0"/>
            <name val="Bahnschrift"/>
            <family val="2"/>
            <scheme val="none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produccion.xlsx]Analisis!TablaDinámica1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OEE</a:t>
            </a:r>
            <a:r>
              <a:rPr lang="es-MX" baseline="0"/>
              <a:t> Promedio por Maquina</a:t>
            </a:r>
            <a:endParaRPr lang="es-MX"/>
          </a:p>
        </c:rich>
      </c:tx>
      <c:layout>
        <c:manualLayout>
          <c:xMode val="edge"/>
          <c:yMode val="edge"/>
          <c:x val="0.29585179218687069"/>
          <c:y val="7.0896899606299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Analisis!$B$7:$B$11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Analisis!$C$7:$C$11</c:f>
              <c:numCache>
                <c:formatCode>0.0%</c:formatCode>
                <c:ptCount val="4"/>
                <c:pt idx="0">
                  <c:v>0.74277314814814877</c:v>
                </c:pt>
                <c:pt idx="1">
                  <c:v>0.74993171296296302</c:v>
                </c:pt>
                <c:pt idx="2">
                  <c:v>0.7450462962962966</c:v>
                </c:pt>
                <c:pt idx="3">
                  <c:v>0.75428641975308663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7-4E73-B667-BA383CCF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856864"/>
        <c:axId val="1224670640"/>
      </c:barChart>
      <c:catAx>
        <c:axId val="121885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24670640"/>
        <c:crosses val="autoZero"/>
        <c:auto val="1"/>
        <c:lblAlgn val="ctr"/>
        <c:lblOffset val="100"/>
        <c:noMultiLvlLbl val="0"/>
      </c:catAx>
      <c:valAx>
        <c:axId val="12246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885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produccion.xlsx]Analisis!TablaDinámica2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Tendencia</a:t>
            </a:r>
            <a:r>
              <a:rPr lang="es-MX" baseline="0"/>
              <a:t> de OEE en el TIempo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Analisis!$C$19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Analisis!$B$20:$B$33</c:f>
              <c:strCache>
                <c:ptCount val="13"/>
                <c:pt idx="0">
                  <c:v>01/01/2025 - 07/01/2025</c:v>
                </c:pt>
                <c:pt idx="1">
                  <c:v>08/01/2025 - 14/01/2025</c:v>
                </c:pt>
                <c:pt idx="2">
                  <c:v>15/01/2025 - 21/01/2025</c:v>
                </c:pt>
                <c:pt idx="3">
                  <c:v>22/01/2025 - 28/01/2025</c:v>
                </c:pt>
                <c:pt idx="4">
                  <c:v>29/01/2025 - 04/02/2025</c:v>
                </c:pt>
                <c:pt idx="5">
                  <c:v>05/02/2025 - 11/02/2025</c:v>
                </c:pt>
                <c:pt idx="6">
                  <c:v>12/02/2025 - 18/02/2025</c:v>
                </c:pt>
                <c:pt idx="7">
                  <c:v>19/02/2025 - 25/02/2025</c:v>
                </c:pt>
                <c:pt idx="8">
                  <c:v>26/02/2025 - 04/03/2025</c:v>
                </c:pt>
                <c:pt idx="9">
                  <c:v>05/03/2025 - 11/03/2025</c:v>
                </c:pt>
                <c:pt idx="10">
                  <c:v>12/03/2025 - 18/03/2025</c:v>
                </c:pt>
                <c:pt idx="11">
                  <c:v>19/03/2025 - 25/03/2025</c:v>
                </c:pt>
                <c:pt idx="12">
                  <c:v>26/03/2025 - 01/04/2025</c:v>
                </c:pt>
              </c:strCache>
            </c:strRef>
          </c:cat>
          <c:val>
            <c:numRef>
              <c:f>Analisis!$C$20:$C$33</c:f>
              <c:numCache>
                <c:formatCode>0.0%</c:formatCode>
                <c:ptCount val="13"/>
                <c:pt idx="0">
                  <c:v>0.72179761904761908</c:v>
                </c:pt>
                <c:pt idx="1">
                  <c:v>0.7344595734126983</c:v>
                </c:pt>
                <c:pt idx="2">
                  <c:v>0.73858407738095244</c:v>
                </c:pt>
                <c:pt idx="3">
                  <c:v>0.75230679563492064</c:v>
                </c:pt>
                <c:pt idx="4">
                  <c:v>0.73921825396825391</c:v>
                </c:pt>
                <c:pt idx="5">
                  <c:v>0.7400691964285715</c:v>
                </c:pt>
                <c:pt idx="6">
                  <c:v>0.75371651785714278</c:v>
                </c:pt>
                <c:pt idx="7">
                  <c:v>0.75387053571428575</c:v>
                </c:pt>
                <c:pt idx="8">
                  <c:v>0.7649347718253966</c:v>
                </c:pt>
                <c:pt idx="9">
                  <c:v>0.74959523809523809</c:v>
                </c:pt>
                <c:pt idx="10">
                  <c:v>0.73590128968253965</c:v>
                </c:pt>
                <c:pt idx="11">
                  <c:v>0.77679588293650781</c:v>
                </c:pt>
                <c:pt idx="12">
                  <c:v>0.76534953703703712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2-437C-97BF-717883354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1472768"/>
        <c:axId val="831076880"/>
      </c:lineChart>
      <c:catAx>
        <c:axId val="16514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1076880"/>
        <c:crosses val="autoZero"/>
        <c:auto val="1"/>
        <c:lblAlgn val="ctr"/>
        <c:lblOffset val="100"/>
        <c:noMultiLvlLbl val="0"/>
      </c:catAx>
      <c:valAx>
        <c:axId val="8310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5147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produccion.xlsx]Analisis!TablaDinámica3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Analisis!$C$36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Analisis!$B$37:$B$40</c:f>
              <c:strCache>
                <c:ptCount val="3"/>
                <c:pt idx="0">
                  <c:v>Mañana</c:v>
                </c:pt>
                <c:pt idx="1">
                  <c:v>Noche</c:v>
                </c:pt>
                <c:pt idx="2">
                  <c:v>Tarde</c:v>
                </c:pt>
              </c:strCache>
            </c:strRef>
          </c:cat>
          <c:val>
            <c:numRef>
              <c:f>Analisis!$C$37:$C$40</c:f>
              <c:numCache>
                <c:formatCode>0.0%</c:formatCode>
                <c:ptCount val="3"/>
                <c:pt idx="0">
                  <c:v>0.75116498842592594</c:v>
                </c:pt>
                <c:pt idx="1">
                  <c:v>0.73778055555555588</c:v>
                </c:pt>
                <c:pt idx="2">
                  <c:v>0.75508263888888871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4-4E6D-804D-9F230C458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1652384"/>
        <c:axId val="1170987280"/>
      </c:barChart>
      <c:catAx>
        <c:axId val="157165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0987280"/>
        <c:crosses val="autoZero"/>
        <c:auto val="1"/>
        <c:lblAlgn val="ctr"/>
        <c:lblOffset val="100"/>
        <c:noMultiLvlLbl val="0"/>
      </c:catAx>
      <c:valAx>
        <c:axId val="117098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165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produccion.xlsx]Analisis!TablaDinámica1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Analisis!$B$7:$B$11</c:f>
              <c:strCache>
                <c:ptCount val="4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</c:strCache>
            </c:strRef>
          </c:cat>
          <c:val>
            <c:numRef>
              <c:f>Analisis!$C$7:$C$11</c:f>
              <c:numCache>
                <c:formatCode>0.0%</c:formatCode>
                <c:ptCount val="4"/>
                <c:pt idx="0">
                  <c:v>0.74277314814814877</c:v>
                </c:pt>
                <c:pt idx="1">
                  <c:v>0.74993171296296302</c:v>
                </c:pt>
                <c:pt idx="2">
                  <c:v>0.7450462962962966</c:v>
                </c:pt>
                <c:pt idx="3">
                  <c:v>0.75428641975308663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5-4FFD-B7F1-4C9CA830F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856864"/>
        <c:axId val="1224670640"/>
      </c:barChart>
      <c:catAx>
        <c:axId val="121885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24670640"/>
        <c:crosses val="autoZero"/>
        <c:auto val="1"/>
        <c:lblAlgn val="ctr"/>
        <c:lblOffset val="100"/>
        <c:noMultiLvlLbl val="0"/>
      </c:catAx>
      <c:valAx>
        <c:axId val="12246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1885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produccion.xlsx]Analisis!TablaDinámica2</c:name>
    <c:fmtId val="1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Analisis!$C$19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Analisis!$B$20:$B$33</c:f>
              <c:strCache>
                <c:ptCount val="13"/>
                <c:pt idx="0">
                  <c:v>01/01/2025 - 07/01/2025</c:v>
                </c:pt>
                <c:pt idx="1">
                  <c:v>08/01/2025 - 14/01/2025</c:v>
                </c:pt>
                <c:pt idx="2">
                  <c:v>15/01/2025 - 21/01/2025</c:v>
                </c:pt>
                <c:pt idx="3">
                  <c:v>22/01/2025 - 28/01/2025</c:v>
                </c:pt>
                <c:pt idx="4">
                  <c:v>29/01/2025 - 04/02/2025</c:v>
                </c:pt>
                <c:pt idx="5">
                  <c:v>05/02/2025 - 11/02/2025</c:v>
                </c:pt>
                <c:pt idx="6">
                  <c:v>12/02/2025 - 18/02/2025</c:v>
                </c:pt>
                <c:pt idx="7">
                  <c:v>19/02/2025 - 25/02/2025</c:v>
                </c:pt>
                <c:pt idx="8">
                  <c:v>26/02/2025 - 04/03/2025</c:v>
                </c:pt>
                <c:pt idx="9">
                  <c:v>05/03/2025 - 11/03/2025</c:v>
                </c:pt>
                <c:pt idx="10">
                  <c:v>12/03/2025 - 18/03/2025</c:v>
                </c:pt>
                <c:pt idx="11">
                  <c:v>19/03/2025 - 25/03/2025</c:v>
                </c:pt>
                <c:pt idx="12">
                  <c:v>26/03/2025 - 01/04/2025</c:v>
                </c:pt>
              </c:strCache>
            </c:strRef>
          </c:cat>
          <c:val>
            <c:numRef>
              <c:f>Analisis!$C$20:$C$33</c:f>
              <c:numCache>
                <c:formatCode>0.0%</c:formatCode>
                <c:ptCount val="13"/>
                <c:pt idx="0">
                  <c:v>0.72179761904761908</c:v>
                </c:pt>
                <c:pt idx="1">
                  <c:v>0.7344595734126983</c:v>
                </c:pt>
                <c:pt idx="2">
                  <c:v>0.73858407738095244</c:v>
                </c:pt>
                <c:pt idx="3">
                  <c:v>0.75230679563492064</c:v>
                </c:pt>
                <c:pt idx="4">
                  <c:v>0.73921825396825391</c:v>
                </c:pt>
                <c:pt idx="5">
                  <c:v>0.7400691964285715</c:v>
                </c:pt>
                <c:pt idx="6">
                  <c:v>0.75371651785714278</c:v>
                </c:pt>
                <c:pt idx="7">
                  <c:v>0.75387053571428575</c:v>
                </c:pt>
                <c:pt idx="8">
                  <c:v>0.7649347718253966</c:v>
                </c:pt>
                <c:pt idx="9">
                  <c:v>0.74959523809523809</c:v>
                </c:pt>
                <c:pt idx="10">
                  <c:v>0.73590128968253965</c:v>
                </c:pt>
                <c:pt idx="11">
                  <c:v>0.77679588293650781</c:v>
                </c:pt>
                <c:pt idx="12">
                  <c:v>0.76534953703703712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A-4E7A-BBB3-FF2C4501B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651472768"/>
        <c:axId val="831076880"/>
      </c:lineChart>
      <c:catAx>
        <c:axId val="16514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1076880"/>
        <c:crosses val="autoZero"/>
        <c:auto val="1"/>
        <c:lblAlgn val="ctr"/>
        <c:lblOffset val="100"/>
        <c:noMultiLvlLbl val="0"/>
      </c:catAx>
      <c:valAx>
        <c:axId val="831076880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514727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produccion.xlsx]Analisis!TablaDinámica3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Analisis!$C$36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Analisis!$B$37:$B$40</c:f>
              <c:strCache>
                <c:ptCount val="3"/>
                <c:pt idx="0">
                  <c:v>Mañana</c:v>
                </c:pt>
                <c:pt idx="1">
                  <c:v>Noche</c:v>
                </c:pt>
                <c:pt idx="2">
                  <c:v>Tarde</c:v>
                </c:pt>
              </c:strCache>
            </c:strRef>
          </c:cat>
          <c:val>
            <c:numRef>
              <c:f>Analisis!$C$37:$C$40</c:f>
              <c:numCache>
                <c:formatCode>0.0%</c:formatCode>
                <c:ptCount val="3"/>
                <c:pt idx="0">
                  <c:v>0.75116498842592594</c:v>
                </c:pt>
                <c:pt idx="1">
                  <c:v>0.73778055555555588</c:v>
                </c:pt>
                <c:pt idx="2">
                  <c:v>0.75508263888888871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4-4017-B0C4-1292CDAC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1652384"/>
        <c:axId val="1170987280"/>
      </c:barChart>
      <c:catAx>
        <c:axId val="1571652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0987280"/>
        <c:crosses val="autoZero"/>
        <c:auto val="1"/>
        <c:lblAlgn val="ctr"/>
        <c:lblOffset val="100"/>
        <c:noMultiLvlLbl val="0"/>
      </c:catAx>
      <c:valAx>
        <c:axId val="117098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165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Causas de Paro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Causas de Paro</a:t>
          </a:r>
        </a:p>
      </cx:txPr>
    </cx:title>
    <cx:plotArea>
      <cx:plotAreaRegion>
        <cx:series layoutId="clusteredColumn" uniqueId="{00000000-CC19-4B12-B3A7-3C91A6EBC66D}">
          <cx:tx>
            <cx:txData>
              <cx:f>_xlchart.v1.7</cx:f>
              <cx:v>Duracion_min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F1123B5-4850-4474-A966-9036B62C7A8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plotArea>
      <cx:plotAreaRegion>
        <cx:series layoutId="clusteredColumn" uniqueId="{00000000-CC19-4B12-B3A7-3C91A6EBC66D}">
          <cx:tx>
            <cx:txData>
              <cx:f>_xlchart.v1.10</cx:f>
              <cx:v>Duracion_min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7F1123B5-4850-4474-A966-9036B62C7A8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chart" Target="../charts/chart5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microsoft.com/office/2014/relationships/chartEx" Target="../charts/chartEx2.xml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708660</xdr:colOff>
      <xdr:row>26</xdr:row>
      <xdr:rowOff>57150</xdr:rowOff>
    </xdr:from>
    <xdr:to>
      <xdr:col>16</xdr:col>
      <xdr:colOff>695325</xdr:colOff>
      <xdr:row>47</xdr:row>
      <xdr:rowOff>158115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44DEDE0-9D1A-F394-6B7A-AAD1F44E2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93345</xdr:colOff>
      <xdr:row>2</xdr:row>
      <xdr:rowOff>116205</xdr:rowOff>
    </xdr:from>
    <xdr:to>
      <xdr:col>19</xdr:col>
      <xdr:colOff>687705</xdr:colOff>
      <xdr:row>24</xdr:row>
      <xdr:rowOff>32385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3AEF47CB-21C3-4C9A-BCE2-B98AF5F018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41105" y="481965"/>
              <a:ext cx="7726680" cy="3939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495300</xdr:colOff>
      <xdr:row>4</xdr:row>
      <xdr:rowOff>175261</xdr:rowOff>
    </xdr:from>
    <xdr:to>
      <xdr:col>5</xdr:col>
      <xdr:colOff>670560</xdr:colOff>
      <xdr:row>11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Turno">
              <a:extLst>
                <a:ext uri="{FF2B5EF4-FFF2-40B4-BE49-F238E27FC236}">
                  <a16:creationId xmlns:a16="http://schemas.microsoft.com/office/drawing/2014/main" id="{1F745088-09EF-F8CA-ABB7-55E0114496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r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29025" y="899161"/>
              <a:ext cx="1823085" cy="11677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228600</xdr:colOff>
      <xdr:row>3</xdr:row>
      <xdr:rowOff>53341</xdr:rowOff>
    </xdr:from>
    <xdr:to>
      <xdr:col>8</xdr:col>
      <xdr:colOff>510540</xdr:colOff>
      <xdr:row>11</xdr:row>
      <xdr:rowOff>45721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aquina">
              <a:extLst>
                <a:ext uri="{FF2B5EF4-FFF2-40B4-BE49-F238E27FC236}">
                  <a16:creationId xmlns:a16="http://schemas.microsoft.com/office/drawing/2014/main" id="{10594269-BE89-3F2A-C3A3-4E3E46E442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qui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0725" y="596266"/>
              <a:ext cx="1863090" cy="1440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3</xdr:col>
      <xdr:colOff>695325</xdr:colOff>
      <xdr:row>17</xdr:row>
      <xdr:rowOff>128588</xdr:rowOff>
    </xdr:from>
    <xdr:to>
      <xdr:col>9</xdr:col>
      <xdr:colOff>457200</xdr:colOff>
      <xdr:row>32</xdr:row>
      <xdr:rowOff>157163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9BD86B-C57A-350D-62BE-7CC986481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685800</xdr:colOff>
      <xdr:row>33</xdr:row>
      <xdr:rowOff>176213</xdr:rowOff>
    </xdr:from>
    <xdr:to>
      <xdr:col>9</xdr:col>
      <xdr:colOff>447675</xdr:colOff>
      <xdr:row>49</xdr:row>
      <xdr:rowOff>23813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26152D-1D89-9C82-4B03-944582E0B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154303</xdr:rowOff>
    </xdr:from>
    <xdr:to>
      <xdr:col>21</xdr:col>
      <xdr:colOff>38100</xdr:colOff>
      <xdr:row>64</xdr:row>
      <xdr:rowOff>22086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4B1C6B0-C25C-50CB-954E-32EB11A0464B}"/>
            </a:ext>
          </a:extLst>
        </xdr:cNvPr>
        <xdr:cNvSpPr/>
      </xdr:nvSpPr>
      <xdr:spPr>
        <a:xfrm>
          <a:off x="28575" y="154303"/>
          <a:ext cx="16707264" cy="11883087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708660</xdr:colOff>
      <xdr:row>1</xdr:row>
      <xdr:rowOff>38100</xdr:rowOff>
    </xdr:from>
    <xdr:to>
      <xdr:col>14</xdr:col>
      <xdr:colOff>121920</xdr:colOff>
      <xdr:row>7</xdr:row>
      <xdr:rowOff>106680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432A83A-85B8-F225-E59F-EB949F779D9B}"/>
            </a:ext>
          </a:extLst>
        </xdr:cNvPr>
        <xdr:cNvSpPr/>
      </xdr:nvSpPr>
      <xdr:spPr>
        <a:xfrm>
          <a:off x="3086100" y="220980"/>
          <a:ext cx="8130540" cy="1165860"/>
        </a:xfrm>
        <a:prstGeom prst="rect">
          <a:avLst/>
        </a:prstGeom>
        <a:solidFill>
          <a:srgbClr val="003366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754380</xdr:colOff>
      <xdr:row>1</xdr:row>
      <xdr:rowOff>114300</xdr:rowOff>
    </xdr:from>
    <xdr:to>
      <xdr:col>10</xdr:col>
      <xdr:colOff>762000</xdr:colOff>
      <xdr:row>5</xdr:row>
      <xdr:rowOff>45720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F95D193-44C2-222A-5137-02B07FAF30B0}"/>
            </a:ext>
          </a:extLst>
        </xdr:cNvPr>
        <xdr:cNvSpPr txBox="1"/>
      </xdr:nvSpPr>
      <xdr:spPr>
        <a:xfrm>
          <a:off x="3924300" y="297180"/>
          <a:ext cx="4762500" cy="662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3200">
              <a:solidFill>
                <a:schemeClr val="bg1"/>
              </a:solidFill>
              <a:latin typeface="Bahnschrift Light" panose="020B0502040204020203" pitchFamily="34" charset="0"/>
            </a:rPr>
            <a:t>Analisis de Produccion</a:t>
          </a:r>
        </a:p>
      </xdr:txBody>
    </xdr:sp>
    <xdr:clientData/>
  </xdr:twoCellAnchor>
  <xdr:twoCellAnchor>
    <xdr:from>
      <xdr:col>5</xdr:col>
      <xdr:colOff>15240</xdr:colOff>
      <xdr:row>4</xdr:row>
      <xdr:rowOff>83820</xdr:rowOff>
    </xdr:from>
    <xdr:to>
      <xdr:col>10</xdr:col>
      <xdr:colOff>327660</xdr:colOff>
      <xdr:row>5</xdr:row>
      <xdr:rowOff>167640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5A32ECFC-FBDE-8D3C-988D-22FAE77A41F6}"/>
            </a:ext>
          </a:extLst>
        </xdr:cNvPr>
        <xdr:cNvSpPr txBox="1"/>
      </xdr:nvSpPr>
      <xdr:spPr>
        <a:xfrm>
          <a:off x="3977640" y="815340"/>
          <a:ext cx="42748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>
              <a:solidFill>
                <a:schemeClr val="bg1"/>
              </a:solidFill>
              <a:latin typeface="Bahnschrift Light" panose="020B0502040204020203" pitchFamily="34" charset="0"/>
            </a:rPr>
            <a:t>Indicadores de Rendimiento</a:t>
          </a:r>
        </a:p>
      </xdr:txBody>
    </xdr:sp>
    <xdr:clientData/>
  </xdr:twoCellAnchor>
  <xdr:twoCellAnchor editAs="oneCell">
    <xdr:from>
      <xdr:col>11</xdr:col>
      <xdr:colOff>541020</xdr:colOff>
      <xdr:row>1</xdr:row>
      <xdr:rowOff>106680</xdr:rowOff>
    </xdr:from>
    <xdr:to>
      <xdr:col>12</xdr:col>
      <xdr:colOff>662940</xdr:colOff>
      <xdr:row>6</xdr:row>
      <xdr:rowOff>106680</xdr:rowOff>
    </xdr:to>
    <xdr:pic>
      <xdr:nvPicPr>
        <xdr:cNvPr id="7" name="Gráfico 6" descr="Diagrama de flujo circular con relleno sólido">
          <a:extLst>
            <a:ext uri="{FF2B5EF4-FFF2-40B4-BE49-F238E27FC236}">
              <a16:creationId xmlns:a16="http://schemas.microsoft.com/office/drawing/2014/main" id="{474CCF5E-69CD-F995-F98D-86A88A8F6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58300" y="289560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731520</xdr:colOff>
      <xdr:row>7</xdr:row>
      <xdr:rowOff>0</xdr:rowOff>
    </xdr:from>
    <xdr:to>
      <xdr:col>5</xdr:col>
      <xdr:colOff>137160</xdr:colOff>
      <xdr:row>12</xdr:row>
      <xdr:rowOff>144780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91959AC-DCC0-4861-A084-D1644B7698EE}"/>
            </a:ext>
          </a:extLst>
        </xdr:cNvPr>
        <xdr:cNvSpPr txBox="1"/>
      </xdr:nvSpPr>
      <xdr:spPr>
        <a:xfrm>
          <a:off x="1524000" y="1280160"/>
          <a:ext cx="2575560" cy="105918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800">
              <a:latin typeface="Bahnschrift Light" panose="020B0502040204020203" pitchFamily="34" charset="0"/>
            </a:rPr>
            <a:t>PROMEDIO OEE</a:t>
          </a:r>
        </a:p>
      </xdr:txBody>
    </xdr:sp>
    <xdr:clientData/>
  </xdr:twoCellAnchor>
  <xdr:twoCellAnchor>
    <xdr:from>
      <xdr:col>3</xdr:col>
      <xdr:colOff>480060</xdr:colOff>
      <xdr:row>9</xdr:row>
      <xdr:rowOff>0</xdr:rowOff>
    </xdr:from>
    <xdr:to>
      <xdr:col>5</xdr:col>
      <xdr:colOff>99060</xdr:colOff>
      <xdr:row>13</xdr:row>
      <xdr:rowOff>7620</xdr:rowOff>
    </xdr:to>
    <xdr:sp macro="" textlink="Analisis!B4">
      <xdr:nvSpPr>
        <xdr:cNvPr id="8" name="CuadroTexto 7">
          <a:extLst>
            <a:ext uri="{FF2B5EF4-FFF2-40B4-BE49-F238E27FC236}">
              <a16:creationId xmlns:a16="http://schemas.microsoft.com/office/drawing/2014/main" id="{CEB33545-7647-7DD7-2210-BBBE638F3A67}"/>
            </a:ext>
          </a:extLst>
        </xdr:cNvPr>
        <xdr:cNvSpPr txBox="1"/>
      </xdr:nvSpPr>
      <xdr:spPr>
        <a:xfrm>
          <a:off x="2857500" y="1645920"/>
          <a:ext cx="1203960" cy="739140"/>
        </a:xfrm>
        <a:prstGeom prst="rect">
          <a:avLst/>
        </a:prstGeom>
        <a:noFill/>
        <a:ln w="9525" cmpd="sng">
          <a:noFill/>
        </a:ln>
        <a:effectLst>
          <a:softEdge rad="317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FDD7DD2-AB3F-4B83-859F-1D34A7FFB06D}" type="TxLink">
            <a:rPr lang="en-US" sz="2400" b="0" i="0" u="none" strike="noStrike">
              <a:solidFill>
                <a:srgbClr val="000000"/>
              </a:solidFill>
              <a:latin typeface="Bahnschrift Light" panose="020B0502040204020203" pitchFamily="34" charset="0"/>
            </a:rPr>
            <a:pPr/>
            <a:t>74.8%</a:t>
          </a:fld>
          <a:endParaRPr lang="es-MX" sz="2400">
            <a:latin typeface="Bahnschrift Light" panose="020B0502040204020203" pitchFamily="34" charset="0"/>
          </a:endParaRPr>
        </a:p>
      </xdr:txBody>
    </xdr:sp>
    <xdr:clientData/>
  </xdr:twoCellAnchor>
  <xdr:twoCellAnchor editAs="oneCell">
    <xdr:from>
      <xdr:col>2</xdr:col>
      <xdr:colOff>259080</xdr:colOff>
      <xdr:row>8</xdr:row>
      <xdr:rowOff>106680</xdr:rowOff>
    </xdr:from>
    <xdr:to>
      <xdr:col>3</xdr:col>
      <xdr:colOff>137160</xdr:colOff>
      <xdr:row>12</xdr:row>
      <xdr:rowOff>45720</xdr:rowOff>
    </xdr:to>
    <xdr:pic>
      <xdr:nvPicPr>
        <xdr:cNvPr id="14" name="Gráfico 13" descr="Gráfico circular con relleno sólido">
          <a:extLst>
            <a:ext uri="{FF2B5EF4-FFF2-40B4-BE49-F238E27FC236}">
              <a16:creationId xmlns:a16="http://schemas.microsoft.com/office/drawing/2014/main" id="{5F0A8790-DB26-EE14-0E84-03007C89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44040" y="1569720"/>
          <a:ext cx="670560" cy="670560"/>
        </a:xfrm>
        <a:prstGeom prst="rect">
          <a:avLst/>
        </a:prstGeom>
      </xdr:spPr>
    </xdr:pic>
    <xdr:clientData/>
  </xdr:twoCellAnchor>
  <xdr:twoCellAnchor>
    <xdr:from>
      <xdr:col>5</xdr:col>
      <xdr:colOff>312420</xdr:colOff>
      <xdr:row>6</xdr:row>
      <xdr:rowOff>167640</xdr:rowOff>
    </xdr:from>
    <xdr:to>
      <xdr:col>8</xdr:col>
      <xdr:colOff>510540</xdr:colOff>
      <xdr:row>12</xdr:row>
      <xdr:rowOff>129540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A7E46E3C-0210-4A59-B037-2DEA479DB604}"/>
            </a:ext>
          </a:extLst>
        </xdr:cNvPr>
        <xdr:cNvSpPr txBox="1"/>
      </xdr:nvSpPr>
      <xdr:spPr>
        <a:xfrm>
          <a:off x="4274820" y="1264920"/>
          <a:ext cx="2575560" cy="105918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800">
              <a:latin typeface="Bahnschrift Light" panose="020B0502040204020203" pitchFamily="34" charset="0"/>
            </a:rPr>
            <a:t>DISPONIBILIDAD</a:t>
          </a:r>
        </a:p>
      </xdr:txBody>
    </xdr:sp>
    <xdr:clientData/>
  </xdr:twoCellAnchor>
  <xdr:twoCellAnchor>
    <xdr:from>
      <xdr:col>8</xdr:col>
      <xdr:colOff>693420</xdr:colOff>
      <xdr:row>7</xdr:row>
      <xdr:rowOff>7620</xdr:rowOff>
    </xdr:from>
    <xdr:to>
      <xdr:col>12</xdr:col>
      <xdr:colOff>99060</xdr:colOff>
      <xdr:row>12</xdr:row>
      <xdr:rowOff>152400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7F0FB03-1F71-4782-95AC-B862AF93595D}"/>
            </a:ext>
          </a:extLst>
        </xdr:cNvPr>
        <xdr:cNvSpPr txBox="1"/>
      </xdr:nvSpPr>
      <xdr:spPr>
        <a:xfrm>
          <a:off x="7033260" y="1287780"/>
          <a:ext cx="2575560" cy="105918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800">
              <a:latin typeface="Bahnschrift Light" panose="020B0502040204020203" pitchFamily="34" charset="0"/>
            </a:rPr>
            <a:t>RENDIMIENTO</a:t>
          </a:r>
        </a:p>
      </xdr:txBody>
    </xdr:sp>
    <xdr:clientData/>
  </xdr:twoCellAnchor>
  <xdr:twoCellAnchor>
    <xdr:from>
      <xdr:col>12</xdr:col>
      <xdr:colOff>335280</xdr:colOff>
      <xdr:row>6</xdr:row>
      <xdr:rowOff>160020</xdr:rowOff>
    </xdr:from>
    <xdr:to>
      <xdr:col>15</xdr:col>
      <xdr:colOff>533400</xdr:colOff>
      <xdr:row>12</xdr:row>
      <xdr:rowOff>121920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8CD81D2-4BCC-438D-89D3-671F4FE4F177}"/>
            </a:ext>
          </a:extLst>
        </xdr:cNvPr>
        <xdr:cNvSpPr txBox="1"/>
      </xdr:nvSpPr>
      <xdr:spPr>
        <a:xfrm>
          <a:off x="9845040" y="1257300"/>
          <a:ext cx="2575560" cy="105918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800">
              <a:latin typeface="Bahnschrift Light" panose="020B0502040204020203" pitchFamily="34" charset="0"/>
            </a:rPr>
            <a:t>CALIDAD</a:t>
          </a:r>
        </a:p>
      </xdr:txBody>
    </xdr:sp>
    <xdr:clientData/>
  </xdr:twoCellAnchor>
  <xdr:twoCellAnchor>
    <xdr:from>
      <xdr:col>6</xdr:col>
      <xdr:colOff>754380</xdr:colOff>
      <xdr:row>9</xdr:row>
      <xdr:rowOff>45720</xdr:rowOff>
    </xdr:from>
    <xdr:to>
      <xdr:col>8</xdr:col>
      <xdr:colOff>259080</xdr:colOff>
      <xdr:row>11</xdr:row>
      <xdr:rowOff>144780</xdr:rowOff>
    </xdr:to>
    <xdr:sp macro="" textlink="Analisis!C4">
      <xdr:nvSpPr>
        <xdr:cNvPr id="19" name="CuadroTexto 18">
          <a:extLst>
            <a:ext uri="{FF2B5EF4-FFF2-40B4-BE49-F238E27FC236}">
              <a16:creationId xmlns:a16="http://schemas.microsoft.com/office/drawing/2014/main" id="{D3BB1270-E394-76E4-2E06-9B8806FD36D8}"/>
            </a:ext>
          </a:extLst>
        </xdr:cNvPr>
        <xdr:cNvSpPr txBox="1"/>
      </xdr:nvSpPr>
      <xdr:spPr>
        <a:xfrm>
          <a:off x="5509260" y="1691640"/>
          <a:ext cx="1089660" cy="464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00849F1-D62F-4B07-BC3F-5EE1F8CBDEE2}" type="TxLink">
            <a:rPr lang="en-US" sz="2400" b="0" i="0" u="none" strike="noStrike">
              <a:solidFill>
                <a:srgbClr val="000000"/>
              </a:solidFill>
              <a:latin typeface="Bahnschrift Light" panose="020B0502040204020203" pitchFamily="34" charset="0"/>
            </a:rPr>
            <a:pPr/>
            <a:t>89.7%</a:t>
          </a:fld>
          <a:endParaRPr lang="es-MX" sz="4800"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10</xdr:col>
      <xdr:colOff>373380</xdr:colOff>
      <xdr:row>9</xdr:row>
      <xdr:rowOff>7620</xdr:rowOff>
    </xdr:from>
    <xdr:to>
      <xdr:col>11</xdr:col>
      <xdr:colOff>784860</xdr:colOff>
      <xdr:row>13</xdr:row>
      <xdr:rowOff>15240</xdr:rowOff>
    </xdr:to>
    <xdr:sp macro="" textlink="Analisis!D4">
      <xdr:nvSpPr>
        <xdr:cNvPr id="20" name="CuadroTexto 19">
          <a:extLst>
            <a:ext uri="{FF2B5EF4-FFF2-40B4-BE49-F238E27FC236}">
              <a16:creationId xmlns:a16="http://schemas.microsoft.com/office/drawing/2014/main" id="{A27DECF2-32D0-48B6-92C9-738B6D549F70}"/>
            </a:ext>
          </a:extLst>
        </xdr:cNvPr>
        <xdr:cNvSpPr txBox="1"/>
      </xdr:nvSpPr>
      <xdr:spPr>
        <a:xfrm>
          <a:off x="8298180" y="1653540"/>
          <a:ext cx="1203960" cy="739140"/>
        </a:xfrm>
        <a:prstGeom prst="rect">
          <a:avLst/>
        </a:prstGeom>
        <a:noFill/>
        <a:ln w="9525" cmpd="sng">
          <a:noFill/>
        </a:ln>
        <a:effectLst>
          <a:softEdge rad="317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C7E145A-3268-4979-9202-D53879E097E9}" type="TxLink">
            <a:rPr lang="en-US" sz="2400" b="0" i="0" u="none" strike="noStrike">
              <a:solidFill>
                <a:srgbClr val="000000"/>
              </a:solidFill>
              <a:latin typeface="Bahnschrift Light" panose="020B0502040204020203" pitchFamily="34" charset="0"/>
            </a:rPr>
            <a:pPr/>
            <a:t>86.4%</a:t>
          </a:fld>
          <a:endParaRPr lang="es-MX" sz="2400"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13</xdr:col>
      <xdr:colOff>777240</xdr:colOff>
      <xdr:row>8</xdr:row>
      <xdr:rowOff>144780</xdr:rowOff>
    </xdr:from>
    <xdr:to>
      <xdr:col>15</xdr:col>
      <xdr:colOff>396240</xdr:colOff>
      <xdr:row>12</xdr:row>
      <xdr:rowOff>152400</xdr:rowOff>
    </xdr:to>
    <xdr:sp macro="" textlink="Analisis!E4">
      <xdr:nvSpPr>
        <xdr:cNvPr id="21" name="CuadroTexto 20">
          <a:extLst>
            <a:ext uri="{FF2B5EF4-FFF2-40B4-BE49-F238E27FC236}">
              <a16:creationId xmlns:a16="http://schemas.microsoft.com/office/drawing/2014/main" id="{7E6C603E-63E9-4CF5-8616-2EA14FA47D3C}"/>
            </a:ext>
          </a:extLst>
        </xdr:cNvPr>
        <xdr:cNvSpPr txBox="1"/>
      </xdr:nvSpPr>
      <xdr:spPr>
        <a:xfrm>
          <a:off x="11079480" y="1607820"/>
          <a:ext cx="1203960" cy="739140"/>
        </a:xfrm>
        <a:prstGeom prst="rect">
          <a:avLst/>
        </a:prstGeom>
        <a:noFill/>
        <a:ln w="9525" cmpd="sng">
          <a:noFill/>
        </a:ln>
        <a:effectLst>
          <a:softEdge rad="3175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DE30C4-EF12-4ABA-BD8F-9676FE6AFCE1}" type="TxLink">
            <a:rPr lang="en-US" sz="2400" b="0" i="0" u="none" strike="noStrike">
              <a:solidFill>
                <a:srgbClr val="000000"/>
              </a:solidFill>
              <a:latin typeface="Bahnschrift Light" panose="020B0502040204020203" pitchFamily="34" charset="0"/>
            </a:rPr>
            <a:pPr/>
            <a:t>96.5%</a:t>
          </a:fld>
          <a:endParaRPr lang="es-MX" sz="4800">
            <a:latin typeface="Bahnschrift Light" panose="020B0502040204020203" pitchFamily="34" charset="0"/>
          </a:endParaRPr>
        </a:p>
      </xdr:txBody>
    </xdr:sp>
    <xdr:clientData/>
  </xdr:twoCellAnchor>
  <xdr:twoCellAnchor editAs="oneCell">
    <xdr:from>
      <xdr:col>5</xdr:col>
      <xdr:colOff>571500</xdr:colOff>
      <xdr:row>8</xdr:row>
      <xdr:rowOff>99060</xdr:rowOff>
    </xdr:from>
    <xdr:to>
      <xdr:col>6</xdr:col>
      <xdr:colOff>449580</xdr:colOff>
      <xdr:row>12</xdr:row>
      <xdr:rowOff>38100</xdr:rowOff>
    </xdr:to>
    <xdr:pic>
      <xdr:nvPicPr>
        <xdr:cNvPr id="22" name="Gráfico 21" descr="Gráfico circular con relleno sólido">
          <a:extLst>
            <a:ext uri="{FF2B5EF4-FFF2-40B4-BE49-F238E27FC236}">
              <a16:creationId xmlns:a16="http://schemas.microsoft.com/office/drawing/2014/main" id="{D03F1507-8431-4E50-BF08-87F4C34E5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533900" y="1562100"/>
          <a:ext cx="670560" cy="670560"/>
        </a:xfrm>
        <a:prstGeom prst="rect">
          <a:avLst/>
        </a:prstGeom>
      </xdr:spPr>
    </xdr:pic>
    <xdr:clientData/>
  </xdr:twoCellAnchor>
  <xdr:twoCellAnchor editAs="oneCell">
    <xdr:from>
      <xdr:col>9</xdr:col>
      <xdr:colOff>213360</xdr:colOff>
      <xdr:row>8</xdr:row>
      <xdr:rowOff>114300</xdr:rowOff>
    </xdr:from>
    <xdr:to>
      <xdr:col>10</xdr:col>
      <xdr:colOff>91440</xdr:colOff>
      <xdr:row>12</xdr:row>
      <xdr:rowOff>53340</xdr:rowOff>
    </xdr:to>
    <xdr:pic>
      <xdr:nvPicPr>
        <xdr:cNvPr id="24" name="Gráfico 23" descr="Gráfico circular con relleno sólido">
          <a:extLst>
            <a:ext uri="{FF2B5EF4-FFF2-40B4-BE49-F238E27FC236}">
              <a16:creationId xmlns:a16="http://schemas.microsoft.com/office/drawing/2014/main" id="{11EFB17F-1046-4E72-B0C3-76588AD65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345680" y="1577340"/>
          <a:ext cx="670560" cy="670560"/>
        </a:xfrm>
        <a:prstGeom prst="rect">
          <a:avLst/>
        </a:prstGeom>
      </xdr:spPr>
    </xdr:pic>
    <xdr:clientData/>
  </xdr:twoCellAnchor>
  <xdr:twoCellAnchor editAs="oneCell">
    <xdr:from>
      <xdr:col>12</xdr:col>
      <xdr:colOff>522084</xdr:colOff>
      <xdr:row>8</xdr:row>
      <xdr:rowOff>78284</xdr:rowOff>
    </xdr:from>
    <xdr:to>
      <xdr:col>13</xdr:col>
      <xdr:colOff>400164</xdr:colOff>
      <xdr:row>12</xdr:row>
      <xdr:rowOff>17324</xdr:rowOff>
    </xdr:to>
    <xdr:pic>
      <xdr:nvPicPr>
        <xdr:cNvPr id="25" name="Gráfico 24" descr="Gráfico circular con relleno sólido">
          <a:extLst>
            <a:ext uri="{FF2B5EF4-FFF2-40B4-BE49-F238E27FC236}">
              <a16:creationId xmlns:a16="http://schemas.microsoft.com/office/drawing/2014/main" id="{532CBB7B-8607-4077-A34B-E7A6DF3F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008984" y="1526084"/>
          <a:ext cx="668655" cy="662940"/>
        </a:xfrm>
        <a:prstGeom prst="rect">
          <a:avLst/>
        </a:prstGeom>
      </xdr:spPr>
    </xdr:pic>
    <xdr:clientData/>
  </xdr:twoCellAnchor>
  <xdr:twoCellAnchor>
    <xdr:from>
      <xdr:col>9</xdr:col>
      <xdr:colOff>243840</xdr:colOff>
      <xdr:row>13</xdr:row>
      <xdr:rowOff>83820</xdr:rowOff>
    </xdr:from>
    <xdr:to>
      <xdr:col>17</xdr:col>
      <xdr:colOff>205740</xdr:colOff>
      <xdr:row>32</xdr:row>
      <xdr:rowOff>68580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AEC6111E-96D3-6DEE-A89B-F24FED9587B1}"/>
            </a:ext>
          </a:extLst>
        </xdr:cNvPr>
        <xdr:cNvSpPr/>
      </xdr:nvSpPr>
      <xdr:spPr>
        <a:xfrm>
          <a:off x="7376160" y="2461260"/>
          <a:ext cx="6301740" cy="3459480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436358</xdr:colOff>
      <xdr:row>16</xdr:row>
      <xdr:rowOff>138267</xdr:rowOff>
    </xdr:from>
    <xdr:to>
      <xdr:col>17</xdr:col>
      <xdr:colOff>105239</xdr:colOff>
      <xdr:row>30</xdr:row>
      <xdr:rowOff>130257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7" name="Gráfico 26">
              <a:extLst>
                <a:ext uri="{FF2B5EF4-FFF2-40B4-BE49-F238E27FC236}">
                  <a16:creationId xmlns:a16="http://schemas.microsoft.com/office/drawing/2014/main" id="{3438EEFB-8B41-4CB0-BEB0-3E97D4D908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8678" y="3064347"/>
              <a:ext cx="6008721" cy="2552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685800</xdr:colOff>
      <xdr:row>13</xdr:row>
      <xdr:rowOff>76200</xdr:rowOff>
    </xdr:from>
    <xdr:to>
      <xdr:col>8</xdr:col>
      <xdr:colOff>647700</xdr:colOff>
      <xdr:row>32</xdr:row>
      <xdr:rowOff>60960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D022F661-58D1-4EEE-A503-F20C562B7274}"/>
            </a:ext>
          </a:extLst>
        </xdr:cNvPr>
        <xdr:cNvSpPr/>
      </xdr:nvSpPr>
      <xdr:spPr>
        <a:xfrm>
          <a:off x="685800" y="2453640"/>
          <a:ext cx="6301740" cy="3459480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243840</xdr:colOff>
      <xdr:row>16</xdr:row>
      <xdr:rowOff>114300</xdr:rowOff>
    </xdr:from>
    <xdr:to>
      <xdr:col>8</xdr:col>
      <xdr:colOff>381000</xdr:colOff>
      <xdr:row>31</xdr:row>
      <xdr:rowOff>91440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15A9E0A0-5B37-429A-86E6-B943874A2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723900</xdr:colOff>
      <xdr:row>14</xdr:row>
      <xdr:rowOff>0</xdr:rowOff>
    </xdr:from>
    <xdr:to>
      <xdr:col>6</xdr:col>
      <xdr:colOff>609600</xdr:colOff>
      <xdr:row>15</xdr:row>
      <xdr:rowOff>160020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AAF0B226-1D0E-2230-A558-401673521978}"/>
            </a:ext>
          </a:extLst>
        </xdr:cNvPr>
        <xdr:cNvSpPr txBox="1"/>
      </xdr:nvSpPr>
      <xdr:spPr>
        <a:xfrm>
          <a:off x="2308860" y="2560320"/>
          <a:ext cx="305562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800" b="0" i="0" baseline="0">
              <a:solidFill>
                <a:sysClr val="windowText" lastClr="000000"/>
              </a:solidFill>
              <a:effectLst/>
              <a:latin typeface="Bahnschrift Light" panose="020B0502040204020203" pitchFamily="34" charset="0"/>
              <a:ea typeface="+mn-ea"/>
              <a:cs typeface="+mn-cs"/>
            </a:rPr>
            <a:t>OEE Promedio por Maquina</a:t>
          </a:r>
          <a:endParaRPr lang="es-MX" sz="1800">
            <a:solidFill>
              <a:sysClr val="windowText" lastClr="000000"/>
            </a:solidFill>
            <a:effectLst/>
            <a:latin typeface="Bahnschrift Light" panose="020B0502040204020203" pitchFamily="34" charset="0"/>
          </a:endParaRPr>
        </a:p>
        <a:p>
          <a:endParaRPr lang="es-MX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552450</xdr:colOff>
      <xdr:row>3</xdr:row>
      <xdr:rowOff>114300</xdr:rowOff>
    </xdr:from>
    <xdr:to>
      <xdr:col>20</xdr:col>
      <xdr:colOff>350250</xdr:colOff>
      <xdr:row>11</xdr:row>
      <xdr:rowOff>131900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DA7D409A-076C-FACD-A6F7-CBF293B6D709}"/>
            </a:ext>
          </a:extLst>
        </xdr:cNvPr>
        <xdr:cNvSpPr/>
      </xdr:nvSpPr>
      <xdr:spPr>
        <a:xfrm>
          <a:off x="13938250" y="647700"/>
          <a:ext cx="2160000" cy="1440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17</xdr:col>
      <xdr:colOff>712470</xdr:colOff>
      <xdr:row>4</xdr:row>
      <xdr:rowOff>5715</xdr:rowOff>
    </xdr:from>
    <xdr:to>
      <xdr:col>20</xdr:col>
      <xdr:colOff>45720</xdr:colOff>
      <xdr:row>10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Turno 1">
              <a:extLst>
                <a:ext uri="{FF2B5EF4-FFF2-40B4-BE49-F238E27FC236}">
                  <a16:creationId xmlns:a16="http://schemas.microsoft.com/office/drawing/2014/main" id="{47875CC4-06A3-47AC-8E3C-136577C6A1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r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52245" y="729615"/>
              <a:ext cx="1704975" cy="1213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539750</xdr:colOff>
      <xdr:row>13</xdr:row>
      <xdr:rowOff>47624</xdr:rowOff>
    </xdr:from>
    <xdr:to>
      <xdr:col>20</xdr:col>
      <xdr:colOff>337550</xdr:colOff>
      <xdr:row>23</xdr:row>
      <xdr:rowOff>63499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F14C6DE0-73CB-4751-9D8A-69C595A6FE35}"/>
            </a:ext>
          </a:extLst>
        </xdr:cNvPr>
        <xdr:cNvSpPr/>
      </xdr:nvSpPr>
      <xdr:spPr>
        <a:xfrm>
          <a:off x="13925550" y="2359024"/>
          <a:ext cx="2160000" cy="17938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17</xdr:col>
      <xdr:colOff>676275</xdr:colOff>
      <xdr:row>13</xdr:row>
      <xdr:rowOff>165099</xdr:rowOff>
    </xdr:from>
    <xdr:to>
      <xdr:col>20</xdr:col>
      <xdr:colOff>38100</xdr:colOff>
      <xdr:row>22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Maquina 1">
              <a:extLst>
                <a:ext uri="{FF2B5EF4-FFF2-40B4-BE49-F238E27FC236}">
                  <a16:creationId xmlns:a16="http://schemas.microsoft.com/office/drawing/2014/main" id="{622532BF-F3B6-4BB1-970D-8B2CBDD7BD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quin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16050" y="2316479"/>
              <a:ext cx="1863090" cy="1522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680140</xdr:colOff>
      <xdr:row>34</xdr:row>
      <xdr:rowOff>121173</xdr:rowOff>
    </xdr:from>
    <xdr:to>
      <xdr:col>8</xdr:col>
      <xdr:colOff>642040</xdr:colOff>
      <xdr:row>56</xdr:row>
      <xdr:rowOff>11044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8626CC83-B115-403E-8361-3011162E97B9}"/>
            </a:ext>
          </a:extLst>
        </xdr:cNvPr>
        <xdr:cNvSpPr/>
      </xdr:nvSpPr>
      <xdr:spPr>
        <a:xfrm>
          <a:off x="680140" y="6504303"/>
          <a:ext cx="6322943" cy="4020132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216314</xdr:colOff>
      <xdr:row>38</xdr:row>
      <xdr:rowOff>99085</xdr:rowOff>
    </xdr:from>
    <xdr:to>
      <xdr:col>8</xdr:col>
      <xdr:colOff>187740</xdr:colOff>
      <xdr:row>55</xdr:row>
      <xdr:rowOff>99392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69AC948-2AB8-449B-81CD-68254504E9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408609</xdr:colOff>
      <xdr:row>35</xdr:row>
      <xdr:rowOff>99391</xdr:rowOff>
    </xdr:from>
    <xdr:to>
      <xdr:col>7</xdr:col>
      <xdr:colOff>342348</xdr:colOff>
      <xdr:row>38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B9597B84-CE36-D79B-4A83-2262110C5E12}"/>
            </a:ext>
          </a:extLst>
        </xdr:cNvPr>
        <xdr:cNvSpPr txBox="1"/>
      </xdr:nvSpPr>
      <xdr:spPr>
        <a:xfrm>
          <a:off x="1998870" y="6670261"/>
          <a:ext cx="3909391" cy="4638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0" i="0" baseline="0">
              <a:solidFill>
                <a:schemeClr val="dk1"/>
              </a:solidFill>
              <a:effectLst/>
              <a:latin typeface="Bahnschrift Light" panose="020B0502040204020203" pitchFamily="34" charset="0"/>
              <a:ea typeface="+mn-ea"/>
              <a:cs typeface="+mn-cs"/>
            </a:rPr>
            <a:t>Tendencia de OEE en el Tiempo</a:t>
          </a:r>
          <a:endParaRPr lang="es-MX" sz="2000">
            <a:effectLst/>
            <a:latin typeface="Bahnschrift Light" panose="020B0502040204020203" pitchFamily="34" charset="0"/>
          </a:endParaRPr>
        </a:p>
        <a:p>
          <a:endParaRPr lang="es-MX" sz="1100"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10</xdr:col>
      <xdr:colOff>762000</xdr:colOff>
      <xdr:row>14</xdr:row>
      <xdr:rowOff>65128</xdr:rowOff>
    </xdr:from>
    <xdr:to>
      <xdr:col>15</xdr:col>
      <xdr:colOff>267025</xdr:colOff>
      <xdr:row>16</xdr:row>
      <xdr:rowOff>26051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49F676AB-8248-B66E-204C-1B08D91FED48}"/>
            </a:ext>
          </a:extLst>
        </xdr:cNvPr>
        <xdr:cNvSpPr txBox="1"/>
      </xdr:nvSpPr>
      <xdr:spPr>
        <a:xfrm>
          <a:off x="8707641" y="2618154"/>
          <a:ext cx="3477846" cy="3256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000">
              <a:latin typeface="Bahnschrift Light" panose="020B0502040204020203" pitchFamily="34" charset="0"/>
            </a:rPr>
            <a:t>Causas</a:t>
          </a:r>
          <a:r>
            <a:rPr lang="es-MX" sz="2000" baseline="0">
              <a:latin typeface="Bahnschrift Light" panose="020B0502040204020203" pitchFamily="34" charset="0"/>
            </a:rPr>
            <a:t> Paro</a:t>
          </a:r>
          <a:endParaRPr lang="es-MX" sz="2000">
            <a:latin typeface="Bahnschrift Light" panose="020B0502040204020203" pitchFamily="34" charset="0"/>
          </a:endParaRPr>
        </a:p>
      </xdr:txBody>
    </xdr:sp>
    <xdr:clientData/>
  </xdr:twoCellAnchor>
  <xdr:twoCellAnchor>
    <xdr:from>
      <xdr:col>9</xdr:col>
      <xdr:colOff>314325</xdr:colOff>
      <xdr:row>34</xdr:row>
      <xdr:rowOff>144778</xdr:rowOff>
    </xdr:from>
    <xdr:to>
      <xdr:col>17</xdr:col>
      <xdr:colOff>276225</xdr:colOff>
      <xdr:row>56</xdr:row>
      <xdr:rowOff>34649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4A5B680D-0C64-40F1-9DC5-3630EC280B68}"/>
            </a:ext>
          </a:extLst>
        </xdr:cNvPr>
        <xdr:cNvSpPr/>
      </xdr:nvSpPr>
      <xdr:spPr>
        <a:xfrm>
          <a:off x="7429500" y="6297928"/>
          <a:ext cx="6286500" cy="3871321"/>
        </a:xfrm>
        <a:prstGeom prst="roundRect">
          <a:avLst/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752475</xdr:colOff>
      <xdr:row>38</xdr:row>
      <xdr:rowOff>0</xdr:rowOff>
    </xdr:from>
    <xdr:to>
      <xdr:col>16</xdr:col>
      <xdr:colOff>723900</xdr:colOff>
      <xdr:row>55</xdr:row>
      <xdr:rowOff>47624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29D9248-7501-4007-AD39-CF7DA8A27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393700</xdr:colOff>
      <xdr:row>24</xdr:row>
      <xdr:rowOff>19050</xdr:rowOff>
    </xdr:from>
    <xdr:to>
      <xdr:col>20</xdr:col>
      <xdr:colOff>520700</xdr:colOff>
      <xdr:row>40</xdr:row>
      <xdr:rowOff>114300</xdr:rowOff>
    </xdr:to>
    <xdr:sp macro="" textlink="">
      <xdr:nvSpPr>
        <xdr:cNvPr id="41" name="Rectángulo: esquinas redondeadas 40">
          <a:extLst>
            <a:ext uri="{FF2B5EF4-FFF2-40B4-BE49-F238E27FC236}">
              <a16:creationId xmlns:a16="http://schemas.microsoft.com/office/drawing/2014/main" id="{540765F3-5191-4D5B-B1FD-68348A7B7212}"/>
            </a:ext>
          </a:extLst>
        </xdr:cNvPr>
        <xdr:cNvSpPr/>
      </xdr:nvSpPr>
      <xdr:spPr>
        <a:xfrm>
          <a:off x="13779500" y="4286250"/>
          <a:ext cx="2489200" cy="294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57150</xdr:colOff>
      <xdr:row>35</xdr:row>
      <xdr:rowOff>125728</xdr:rowOff>
    </xdr:from>
    <xdr:to>
      <xdr:col>15</xdr:col>
      <xdr:colOff>781464</xdr:colOff>
      <xdr:row>38</xdr:row>
      <xdr:rowOff>26337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05EF33FA-22B5-41E6-B2AB-1C662675EC72}"/>
            </a:ext>
          </a:extLst>
        </xdr:cNvPr>
        <xdr:cNvSpPr txBox="1"/>
      </xdr:nvSpPr>
      <xdr:spPr>
        <a:xfrm>
          <a:off x="8753475" y="6459853"/>
          <a:ext cx="3886614" cy="44353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000">
              <a:latin typeface="Bahnschrift Light" panose="020B0502040204020203" pitchFamily="34" charset="0"/>
            </a:rPr>
            <a:t>OEE</a:t>
          </a:r>
          <a:r>
            <a:rPr lang="es-MX" sz="2000" baseline="0">
              <a:latin typeface="Bahnschrift Light" panose="020B0502040204020203" pitchFamily="34" charset="0"/>
            </a:rPr>
            <a:t> por Turno</a:t>
          </a:r>
          <a:endParaRPr lang="es-MX" sz="2000">
            <a:latin typeface="Bahnschrift Light" panose="020B0502040204020203" pitchFamily="34" charset="0"/>
          </a:endParaRPr>
        </a:p>
      </xdr:txBody>
    </xdr:sp>
    <xdr:clientData/>
  </xdr:twoCellAnchor>
  <xdr:twoCellAnchor editAs="oneCell">
    <xdr:from>
      <xdr:col>17</xdr:col>
      <xdr:colOff>584200</xdr:colOff>
      <xdr:row>24</xdr:row>
      <xdr:rowOff>133350</xdr:rowOff>
    </xdr:from>
    <xdr:to>
      <xdr:col>20</xdr:col>
      <xdr:colOff>330199</xdr:colOff>
      <xdr:row>39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5" name="Días (Fecha)">
              <a:extLst>
                <a:ext uri="{FF2B5EF4-FFF2-40B4-BE49-F238E27FC236}">
                  <a16:creationId xmlns:a16="http://schemas.microsoft.com/office/drawing/2014/main" id="{62E6CB11-376E-464D-91A8-825EE1B914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ías (Fecha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0000" y="4400550"/>
              <a:ext cx="2108199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Perez" refreshedDate="46291.840893865738" createdVersion="8" refreshedVersion="8" minRefreshableVersion="3" recordCount="1080" xr:uid="{659DFCB5-412B-4C05-ABFA-D7BC169780E3}">
  <cacheSource type="worksheet">
    <worksheetSource name="producccion_oee"/>
  </cacheSource>
  <cacheFields count="16">
    <cacheField name="Registro_ID" numFmtId="0">
      <sharedItems containsSemiMixedTypes="0" containsString="0" containsNumber="1" containsInteger="1" minValue="1" maxValue="1080"/>
    </cacheField>
    <cacheField name="Fecha" numFmtId="14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15"/>
    </cacheField>
    <cacheField name="Turno" numFmtId="0">
      <sharedItems count="3">
        <s v="Mañana"/>
        <s v="Tarde"/>
        <s v="Noche"/>
      </sharedItems>
    </cacheField>
    <cacheField name="Maquina" numFmtId="0">
      <sharedItems count="4">
        <s v="M1"/>
        <s v="M2"/>
        <s v="M3"/>
        <s v="M4"/>
      </sharedItems>
    </cacheField>
    <cacheField name="Tiempo_Planeado_min" numFmtId="0">
      <sharedItems containsSemiMixedTypes="0" containsString="0" containsNumber="1" containsInteger="1" minValue="480" maxValue="480"/>
    </cacheField>
    <cacheField name="Downtime_Total_min" numFmtId="0">
      <sharedItems containsSemiMixedTypes="0" containsString="0" containsNumber="1" containsInteger="1" minValue="0" maxValue="420"/>
    </cacheField>
    <cacheField name="Piezas_Producidas" numFmtId="0">
      <sharedItems containsSemiMixedTypes="0" containsString="0" containsNumber="1" containsInteger="1" minValue="255" maxValue="2347"/>
    </cacheField>
    <cacheField name="Piezas_Buenas" numFmtId="0">
      <sharedItems containsSemiMixedTypes="0" containsString="0" containsNumber="1" containsInteger="1" minValue="245" maxValue="2306"/>
    </cacheField>
    <cacheField name="Piezas_Defectuosas" numFmtId="0">
      <sharedItems containsSemiMixedTypes="0" containsString="0" containsNumber="1" containsInteger="1" minValue="7" maxValue="136"/>
    </cacheField>
    <cacheField name="Ciclo_ideal_seg" numFmtId="0">
      <sharedItems containsSemiMixedTypes="0" containsString="0" containsNumber="1" minValue="12" maxValue="13.8"/>
    </cacheField>
    <cacheField name="Tiempo_Operativo_min" numFmtId="0">
      <sharedItems containsSemiMixedTypes="0" containsString="0" containsNumber="1" containsInteger="1" minValue="60" maxValue="480"/>
    </cacheField>
    <cacheField name="Disponibilidad" numFmtId="0">
      <sharedItems containsSemiMixedTypes="0" containsString="0" containsNumber="1" minValue="0.125" maxValue="1"/>
    </cacheField>
    <cacheField name="Rendimiento" numFmtId="0">
      <sharedItems containsSemiMixedTypes="0" containsString="0" containsNumber="1" minValue="0.74987499999999996" maxValue="0.97911578947368416"/>
    </cacheField>
    <cacheField name="Calidad" numFmtId="0">
      <sharedItems containsSemiMixedTypes="0" containsString="0" containsNumber="1" minValue="0.94016549968173135" maxValue="0.99024756189047258"/>
    </cacheField>
    <cacheField name="OEE" numFmtId="0">
      <sharedItems containsSemiMixedTypes="0" containsString="0" containsNumber="1" minValue="0.10208333333333333" maxValue="0.96083333333333332"/>
    </cacheField>
    <cacheField name="Días (Fecha)" numFmtId="0" databaseField="0">
      <fieldGroup base="1">
        <rangePr groupBy="days" startDate="2025-01-01T00:00:00" endDate="2025-04-01T00:00:00" groupInterval="7"/>
        <groupItems count="15">
          <s v="&lt;01/01/2025"/>
          <s v="01/01/2025 - 07/01/2025"/>
          <s v="08/01/2025 - 14/01/2025"/>
          <s v="15/01/2025 - 21/01/2025"/>
          <s v="22/01/2025 - 28/01/2025"/>
          <s v="29/01/2025 - 04/02/2025"/>
          <s v="05/02/2025 - 11/02/2025"/>
          <s v="12/02/2025 - 18/02/2025"/>
          <s v="19/02/2025 - 25/02/2025"/>
          <s v="26/02/2025 - 04/03/2025"/>
          <s v="05/03/2025 - 11/03/2025"/>
          <s v="12/03/2025 - 18/03/2025"/>
          <s v="19/03/2025 - 25/03/2025"/>
          <s v="26/03/2025 - 01/04/2025"/>
          <s v="&gt;01/04/2025"/>
        </groupItems>
      </fieldGroup>
    </cacheField>
  </cacheFields>
  <extLst>
    <ext xmlns:x14="http://schemas.microsoft.com/office/spreadsheetml/2009/9/main" uri="{725AE2AE-9491-48be-B2B4-4EB974FC3084}">
      <x14:pivotCacheDefinition pivotCacheId="4756965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Perez" refreshedDate="46292.466729398147" createdVersion="8" refreshedVersion="8" minRefreshableVersion="3" recordCount="1581" xr:uid="{BF0A3455-E465-45BA-B546-4D13354E86B3}">
  <cacheSource type="worksheet">
    <worksheetSource name="paros_export"/>
  </cacheSource>
  <cacheFields count="7">
    <cacheField name="Paro_ID" numFmtId="0">
      <sharedItems containsSemiMixedTypes="0" containsString="0" containsNumber="1" containsInteger="1" minValue="1" maxValue="1581"/>
    </cacheField>
    <cacheField name="Registro_ID" numFmtId="0">
      <sharedItems containsSemiMixedTypes="0" containsString="0" containsNumber="1" containsInteger="1" minValue="1" maxValue="1080"/>
    </cacheField>
    <cacheField name="Fecha" numFmtId="14">
      <sharedItems containsSemiMixedTypes="0" containsNonDate="0" containsDate="1" containsString="0" minDate="2025-01-01T00:00:00" maxDate="2025-04-01T00:00:00"/>
    </cacheField>
    <cacheField name="Turno" numFmtId="0">
      <sharedItems/>
    </cacheField>
    <cacheField name="Maquina" numFmtId="0">
      <sharedItems/>
    </cacheField>
    <cacheField name="Causa_Paro" numFmtId="0">
      <sharedItems count="6">
        <s v="Falla mecánica"/>
        <s v="Falta de material"/>
        <s v="Cambio de herramienta"/>
        <s v="Mantenimiento no programado"/>
        <s v="Falta de operador"/>
        <s v="Ajuste de calidad"/>
      </sharedItems>
    </cacheField>
    <cacheField name="Duracion_min" numFmtId="0">
      <sharedItems containsSemiMixedTypes="0" containsString="0" containsNumber="1" containsInteger="1" minValue="5" maxValue="3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">
  <r>
    <n v="1"/>
    <x v="0"/>
    <x v="0"/>
    <x v="0"/>
    <n v="480"/>
    <n v="133"/>
    <n v="1309"/>
    <n v="1233"/>
    <n v="76"/>
    <n v="12"/>
    <n v="347"/>
    <n v="0.72291666666666665"/>
    <n v="0.75446685878962538"/>
    <n v="0.9419404125286478"/>
    <n v="0.51374999999999993"/>
  </r>
  <r>
    <n v="2"/>
    <x v="0"/>
    <x v="0"/>
    <x v="1"/>
    <n v="480"/>
    <n v="9"/>
    <n v="1839"/>
    <n v="1773"/>
    <n v="66"/>
    <n v="12.6"/>
    <n v="471"/>
    <n v="0.98124999999999996"/>
    <n v="0.81993630573248399"/>
    <n v="0.96411092985318103"/>
    <n v="0.77568749999999986"/>
  </r>
  <r>
    <n v="3"/>
    <x v="0"/>
    <x v="0"/>
    <x v="2"/>
    <n v="480"/>
    <n v="5"/>
    <n v="1764"/>
    <n v="1715"/>
    <n v="49"/>
    <n v="13.2"/>
    <n v="475"/>
    <n v="0.98958333333333337"/>
    <n v="0.81701052631578941"/>
    <n v="0.97222222222222221"/>
    <n v="0.78604166666666664"/>
  </r>
  <r>
    <n v="4"/>
    <x v="0"/>
    <x v="0"/>
    <x v="3"/>
    <n v="480"/>
    <n v="59"/>
    <n v="1444"/>
    <n v="1425"/>
    <n v="19"/>
    <n v="13.8"/>
    <n v="421"/>
    <n v="0.87708333333333333"/>
    <n v="0.78888361045130639"/>
    <n v="0.98684210526315785"/>
    <n v="0.68281249999999993"/>
  </r>
  <r>
    <n v="5"/>
    <x v="0"/>
    <x v="1"/>
    <x v="0"/>
    <n v="480"/>
    <n v="203"/>
    <n v="1138"/>
    <n v="1098"/>
    <n v="40"/>
    <n v="12"/>
    <n v="277"/>
    <n v="0.57708333333333328"/>
    <n v="0.8216606498194946"/>
    <n v="0.96485061511423553"/>
    <n v="0.45749999999999996"/>
  </r>
  <r>
    <n v="6"/>
    <x v="0"/>
    <x v="1"/>
    <x v="1"/>
    <n v="480"/>
    <n v="89"/>
    <n v="1798"/>
    <n v="1700"/>
    <n v="98"/>
    <n v="12.6"/>
    <n v="391"/>
    <n v="0.81458333333333333"/>
    <n v="0.96567774936061379"/>
    <n v="0.94549499443826479"/>
    <n v="0.74375000000000002"/>
  </r>
  <r>
    <n v="7"/>
    <x v="0"/>
    <x v="1"/>
    <x v="2"/>
    <n v="480"/>
    <n v="27"/>
    <n v="1672"/>
    <n v="1586"/>
    <n v="86"/>
    <n v="13.2"/>
    <n v="453"/>
    <n v="0.94374999999999998"/>
    <n v="0.81200883002207502"/>
    <n v="0.94856459330143539"/>
    <n v="0.72691666666666666"/>
  </r>
  <r>
    <n v="8"/>
    <x v="0"/>
    <x v="1"/>
    <x v="3"/>
    <n v="480"/>
    <n v="5"/>
    <n v="1929"/>
    <n v="1903"/>
    <n v="26"/>
    <n v="13.8"/>
    <n v="475"/>
    <n v="0.98958333333333337"/>
    <n v="0.9340421052631579"/>
    <n v="0.98652151373768793"/>
    <n v="0.91185416666666663"/>
  </r>
  <r>
    <n v="9"/>
    <x v="0"/>
    <x v="2"/>
    <x v="0"/>
    <n v="480"/>
    <n v="115"/>
    <n v="1692"/>
    <n v="1669"/>
    <n v="23"/>
    <n v="12"/>
    <n v="365"/>
    <n v="0.76041666666666663"/>
    <n v="0.92712328767123287"/>
    <n v="0.9864066193853428"/>
    <n v="0.69541666666666668"/>
  </r>
  <r>
    <n v="10"/>
    <x v="0"/>
    <x v="2"/>
    <x v="1"/>
    <n v="480"/>
    <n v="24"/>
    <n v="1793"/>
    <n v="1770"/>
    <n v="23"/>
    <n v="12.6"/>
    <n v="456"/>
    <n v="0.95"/>
    <n v="0.82572368421052633"/>
    <n v="0.98717233686558836"/>
    <n v="0.77437500000000004"/>
  </r>
  <r>
    <n v="11"/>
    <x v="0"/>
    <x v="2"/>
    <x v="2"/>
    <n v="480"/>
    <n v="30"/>
    <n v="1951"/>
    <n v="1886"/>
    <n v="65"/>
    <n v="13.2"/>
    <n v="450"/>
    <n v="0.9375"/>
    <n v="0.95382222222222213"/>
    <n v="0.96668375192209122"/>
    <n v="0.86441666666666661"/>
  </r>
  <r>
    <n v="12"/>
    <x v="0"/>
    <x v="2"/>
    <x v="3"/>
    <n v="480"/>
    <n v="0"/>
    <n v="1907"/>
    <n v="1816"/>
    <n v="91"/>
    <n v="13.8"/>
    <n v="480"/>
    <n v="1"/>
    <n v="0.91377083333333342"/>
    <n v="0.95228106974305193"/>
    <n v="0.87016666666666675"/>
  </r>
  <r>
    <n v="13"/>
    <x v="1"/>
    <x v="0"/>
    <x v="0"/>
    <n v="480"/>
    <n v="16"/>
    <n v="1756"/>
    <n v="1683"/>
    <n v="73"/>
    <n v="12"/>
    <n v="464"/>
    <n v="0.96666666666666667"/>
    <n v="0.75689655172413794"/>
    <n v="0.95842824601366738"/>
    <n v="0.70125000000000004"/>
  </r>
  <r>
    <n v="14"/>
    <x v="1"/>
    <x v="0"/>
    <x v="1"/>
    <n v="480"/>
    <n v="7"/>
    <n v="1901"/>
    <n v="1811"/>
    <n v="90"/>
    <n v="12.6"/>
    <n v="473"/>
    <n v="0.98541666666666672"/>
    <n v="0.84399577167019024"/>
    <n v="0.95265649658074703"/>
    <n v="0.79231250000000009"/>
  </r>
  <r>
    <n v="15"/>
    <x v="1"/>
    <x v="0"/>
    <x v="2"/>
    <n v="480"/>
    <n v="7"/>
    <n v="2072"/>
    <n v="1968"/>
    <n v="104"/>
    <n v="13.2"/>
    <n v="473"/>
    <n v="0.98541666666666672"/>
    <n v="0.96372093023255812"/>
    <n v="0.9498069498069498"/>
    <n v="0.90200000000000002"/>
  </r>
  <r>
    <n v="16"/>
    <x v="1"/>
    <x v="0"/>
    <x v="3"/>
    <n v="480"/>
    <n v="57"/>
    <n v="1475"/>
    <n v="1429"/>
    <n v="46"/>
    <n v="13.8"/>
    <n v="423"/>
    <n v="0.88124999999999998"/>
    <n v="0.80200945626477538"/>
    <n v="0.96881355932203395"/>
    <n v="0.68472916666666661"/>
  </r>
  <r>
    <n v="17"/>
    <x v="1"/>
    <x v="1"/>
    <x v="0"/>
    <n v="480"/>
    <n v="15"/>
    <n v="1924"/>
    <n v="1815"/>
    <n v="109"/>
    <n v="12"/>
    <n v="465"/>
    <n v="0.96875"/>
    <n v="0.8275268817204301"/>
    <n v="0.9433471933471933"/>
    <n v="0.75624999999999998"/>
  </r>
  <r>
    <n v="18"/>
    <x v="1"/>
    <x v="1"/>
    <x v="1"/>
    <n v="480"/>
    <n v="13"/>
    <n v="2164"/>
    <n v="2039"/>
    <n v="125"/>
    <n v="12.6"/>
    <n v="467"/>
    <n v="0.97291666666666665"/>
    <n v="0.97310492505353308"/>
    <n v="0.94223659889094269"/>
    <n v="0.89206249999999987"/>
  </r>
  <r>
    <n v="19"/>
    <x v="1"/>
    <x v="1"/>
    <x v="2"/>
    <n v="480"/>
    <n v="15"/>
    <n v="1603"/>
    <n v="1539"/>
    <n v="64"/>
    <n v="13.2"/>
    <n v="465"/>
    <n v="0.96875"/>
    <n v="0.75840860215053763"/>
    <n v="0.9600748596381784"/>
    <n v="0.70537499999999997"/>
  </r>
  <r>
    <n v="20"/>
    <x v="1"/>
    <x v="1"/>
    <x v="3"/>
    <n v="480"/>
    <n v="107"/>
    <n v="1305"/>
    <n v="1283"/>
    <n v="22"/>
    <n v="13.8"/>
    <n v="373"/>
    <n v="0.77708333333333335"/>
    <n v="0.80469168900804289"/>
    <n v="0.98314176245210727"/>
    <n v="0.61477083333333338"/>
  </r>
  <r>
    <n v="21"/>
    <x v="1"/>
    <x v="2"/>
    <x v="0"/>
    <n v="480"/>
    <n v="101"/>
    <n v="1581"/>
    <n v="1516"/>
    <n v="65"/>
    <n v="12"/>
    <n v="379"/>
    <n v="0.7895833333333333"/>
    <n v="0.83430079155672821"/>
    <n v="0.95888678051865905"/>
    <n v="0.6316666666666666"/>
  </r>
  <r>
    <n v="22"/>
    <x v="1"/>
    <x v="2"/>
    <x v="1"/>
    <n v="480"/>
    <n v="10"/>
    <n v="1982"/>
    <n v="1896"/>
    <n v="86"/>
    <n v="12.6"/>
    <n v="470"/>
    <n v="0.97916666666666663"/>
    <n v="0.88557446808510643"/>
    <n v="0.9566094853683148"/>
    <n v="0.82950000000000002"/>
  </r>
  <r>
    <n v="23"/>
    <x v="1"/>
    <x v="2"/>
    <x v="2"/>
    <n v="480"/>
    <n v="0"/>
    <n v="1893"/>
    <n v="1853"/>
    <n v="40"/>
    <n v="13.2"/>
    <n v="480"/>
    <n v="1"/>
    <n v="0.86762499999999998"/>
    <n v="0.97886951928156363"/>
    <n v="0.84929166666666667"/>
  </r>
  <r>
    <n v="24"/>
    <x v="1"/>
    <x v="2"/>
    <x v="3"/>
    <n v="480"/>
    <n v="14"/>
    <n v="1956"/>
    <n v="1923"/>
    <n v="33"/>
    <n v="13.8"/>
    <n v="466"/>
    <n v="0.97083333333333333"/>
    <n v="0.96540772532188857"/>
    <n v="0.98312883435582821"/>
    <n v="0.92143750000000013"/>
  </r>
  <r>
    <n v="25"/>
    <x v="2"/>
    <x v="0"/>
    <x v="0"/>
    <n v="480"/>
    <n v="52"/>
    <n v="1731"/>
    <n v="1657"/>
    <n v="74"/>
    <n v="12"/>
    <n v="428"/>
    <n v="0.89166666666666672"/>
    <n v="0.80887850467289724"/>
    <n v="0.95725014442518774"/>
    <n v="0.69041666666666668"/>
  </r>
  <r>
    <n v="26"/>
    <x v="2"/>
    <x v="0"/>
    <x v="1"/>
    <n v="480"/>
    <n v="146"/>
    <n v="1458"/>
    <n v="1379"/>
    <n v="79"/>
    <n v="12.6"/>
    <n v="334"/>
    <n v="0.6958333333333333"/>
    <n v="0.91670658682634731"/>
    <n v="0.94581618655692734"/>
    <n v="0.60331250000000003"/>
  </r>
  <r>
    <n v="27"/>
    <x v="2"/>
    <x v="0"/>
    <x v="2"/>
    <n v="480"/>
    <n v="156"/>
    <n v="1106"/>
    <n v="1087"/>
    <n v="19"/>
    <n v="13.2"/>
    <n v="324"/>
    <n v="0.67500000000000004"/>
    <n v="0.75098765432098757"/>
    <n v="0.98282097649186262"/>
    <n v="0.49820833333333336"/>
  </r>
  <r>
    <n v="28"/>
    <x v="2"/>
    <x v="0"/>
    <x v="3"/>
    <n v="480"/>
    <n v="125"/>
    <n v="1391"/>
    <n v="1338"/>
    <n v="53"/>
    <n v="13.8"/>
    <n v="355"/>
    <n v="0.73958333333333337"/>
    <n v="0.90121126760563375"/>
    <n v="0.96189791516894319"/>
    <n v="0.64112499999999994"/>
  </r>
  <r>
    <n v="29"/>
    <x v="2"/>
    <x v="1"/>
    <x v="0"/>
    <n v="480"/>
    <n v="0"/>
    <n v="2002"/>
    <n v="1956"/>
    <n v="46"/>
    <n v="12"/>
    <n v="480"/>
    <n v="1"/>
    <n v="0.83416666666666661"/>
    <n v="0.97702297702297702"/>
    <n v="0.81499999999999995"/>
  </r>
  <r>
    <n v="30"/>
    <x v="2"/>
    <x v="1"/>
    <x v="1"/>
    <n v="480"/>
    <n v="34"/>
    <n v="1874"/>
    <n v="1810"/>
    <n v="64"/>
    <n v="12.6"/>
    <n v="446"/>
    <n v="0.9291666666666667"/>
    <n v="0.88237668161434968"/>
    <n v="0.96584845250800422"/>
    <n v="0.79187499999999988"/>
  </r>
  <r>
    <n v="31"/>
    <x v="2"/>
    <x v="1"/>
    <x v="2"/>
    <n v="480"/>
    <n v="0"/>
    <n v="1998"/>
    <n v="1950"/>
    <n v="48"/>
    <n v="13.2"/>
    <n v="480"/>
    <n v="1"/>
    <n v="0.91574999999999995"/>
    <n v="0.97597597597597596"/>
    <n v="0.89374999999999993"/>
  </r>
  <r>
    <n v="32"/>
    <x v="2"/>
    <x v="1"/>
    <x v="3"/>
    <n v="480"/>
    <n v="0"/>
    <n v="1875"/>
    <n v="1840"/>
    <n v="35"/>
    <n v="13.8"/>
    <n v="480"/>
    <n v="1"/>
    <n v="0.8984375"/>
    <n v="0.98133333333333328"/>
    <n v="0.8816666666666666"/>
  </r>
  <r>
    <n v="33"/>
    <x v="2"/>
    <x v="2"/>
    <x v="0"/>
    <n v="480"/>
    <n v="257"/>
    <n v="917"/>
    <n v="901"/>
    <n v="16"/>
    <n v="12"/>
    <n v="223"/>
    <n v="0.46458333333333335"/>
    <n v="0.82242152466367713"/>
    <n v="0.98255179934569248"/>
    <n v="0.37541666666666668"/>
  </r>
  <r>
    <n v="34"/>
    <x v="2"/>
    <x v="2"/>
    <x v="1"/>
    <n v="480"/>
    <n v="92"/>
    <n v="1700"/>
    <n v="1624"/>
    <n v="76"/>
    <n v="12.6"/>
    <n v="388"/>
    <n v="0.80833333333333335"/>
    <n v="0.92010309278350511"/>
    <n v="0.95529411764705885"/>
    <n v="0.71050000000000002"/>
  </r>
  <r>
    <n v="35"/>
    <x v="2"/>
    <x v="2"/>
    <x v="2"/>
    <n v="480"/>
    <n v="85"/>
    <n v="1557"/>
    <n v="1503"/>
    <n v="54"/>
    <n v="13.2"/>
    <n v="395"/>
    <n v="0.82291666666666663"/>
    <n v="0.86718987341772147"/>
    <n v="0.96531791907514453"/>
    <n v="0.68887500000000002"/>
  </r>
  <r>
    <n v="36"/>
    <x v="2"/>
    <x v="2"/>
    <x v="3"/>
    <n v="480"/>
    <n v="70"/>
    <n v="1674"/>
    <n v="1628"/>
    <n v="46"/>
    <n v="13.8"/>
    <n v="410"/>
    <n v="0.85416666666666663"/>
    <n v="0.93907317073170737"/>
    <n v="0.97252090800477897"/>
    <n v="0.78008333333333335"/>
  </r>
  <r>
    <n v="37"/>
    <x v="3"/>
    <x v="0"/>
    <x v="0"/>
    <n v="480"/>
    <n v="0"/>
    <n v="2088"/>
    <n v="1987"/>
    <n v="101"/>
    <n v="12"/>
    <n v="480"/>
    <n v="1"/>
    <n v="0.87"/>
    <n v="0.95162835249042144"/>
    <n v="0.82791666666666663"/>
  </r>
  <r>
    <n v="38"/>
    <x v="3"/>
    <x v="0"/>
    <x v="1"/>
    <n v="480"/>
    <n v="0"/>
    <n v="2041"/>
    <n v="2012"/>
    <n v="29"/>
    <n v="12.6"/>
    <n v="480"/>
    <n v="1"/>
    <n v="0.89293749999999994"/>
    <n v="0.98579127878490935"/>
    <n v="0.88024999999999998"/>
  </r>
  <r>
    <n v="39"/>
    <x v="3"/>
    <x v="0"/>
    <x v="2"/>
    <n v="480"/>
    <n v="0"/>
    <n v="1903"/>
    <n v="1833"/>
    <n v="70"/>
    <n v="13.2"/>
    <n v="480"/>
    <n v="1"/>
    <n v="0.87220833333333325"/>
    <n v="0.96321597477666843"/>
    <n v="0.8401249999999999"/>
  </r>
  <r>
    <n v="40"/>
    <x v="3"/>
    <x v="0"/>
    <x v="3"/>
    <n v="480"/>
    <n v="174"/>
    <n v="1122"/>
    <n v="1102"/>
    <n v="20"/>
    <n v="13.8"/>
    <n v="306"/>
    <n v="0.63749999999999996"/>
    <n v="0.84333333333333338"/>
    <n v="0.982174688057041"/>
    <n v="0.52804166666666674"/>
  </r>
  <r>
    <n v="41"/>
    <x v="3"/>
    <x v="1"/>
    <x v="0"/>
    <n v="480"/>
    <n v="0"/>
    <n v="1938"/>
    <n v="1866"/>
    <n v="72"/>
    <n v="12"/>
    <n v="480"/>
    <n v="1"/>
    <n v="0.8075"/>
    <n v="0.96284829721362231"/>
    <n v="0.77749999999999997"/>
  </r>
  <r>
    <n v="42"/>
    <x v="3"/>
    <x v="1"/>
    <x v="1"/>
    <n v="480"/>
    <n v="98"/>
    <n v="1539"/>
    <n v="1505"/>
    <n v="34"/>
    <n v="12.6"/>
    <n v="382"/>
    <n v="0.79583333333333328"/>
    <n v="0.84604712041884811"/>
    <n v="0.97790773229369721"/>
    <n v="0.6584374999999999"/>
  </r>
  <r>
    <n v="43"/>
    <x v="3"/>
    <x v="1"/>
    <x v="2"/>
    <n v="480"/>
    <n v="92"/>
    <n v="1608"/>
    <n v="1554"/>
    <n v="54"/>
    <n v="13.2"/>
    <n v="388"/>
    <n v="0.80833333333333335"/>
    <n v="0.91175257731958759"/>
    <n v="0.96641791044776115"/>
    <n v="0.71224999999999994"/>
  </r>
  <r>
    <n v="44"/>
    <x v="3"/>
    <x v="1"/>
    <x v="3"/>
    <n v="480"/>
    <n v="0"/>
    <n v="1801"/>
    <n v="1741"/>
    <n v="60"/>
    <n v="13.8"/>
    <n v="480"/>
    <n v="1"/>
    <n v="0.86297916666666674"/>
    <n v="0.96668517490283179"/>
    <n v="0.8342291666666668"/>
  </r>
  <r>
    <n v="45"/>
    <x v="3"/>
    <x v="2"/>
    <x v="0"/>
    <n v="480"/>
    <n v="0"/>
    <n v="2039"/>
    <n v="1978"/>
    <n v="61"/>
    <n v="12"/>
    <n v="480"/>
    <n v="1"/>
    <n v="0.84958333333333336"/>
    <n v="0.97008337420304069"/>
    <n v="0.82416666666666671"/>
  </r>
  <r>
    <n v="46"/>
    <x v="3"/>
    <x v="2"/>
    <x v="1"/>
    <n v="480"/>
    <n v="57"/>
    <n v="1815"/>
    <n v="1783"/>
    <n v="32"/>
    <n v="12.6"/>
    <n v="423"/>
    <n v="0.88124999999999998"/>
    <n v="0.90106382978723409"/>
    <n v="0.98236914600550962"/>
    <n v="0.78006249999999999"/>
  </r>
  <r>
    <n v="47"/>
    <x v="3"/>
    <x v="2"/>
    <x v="2"/>
    <n v="480"/>
    <n v="0"/>
    <n v="1958"/>
    <n v="1936"/>
    <n v="22"/>
    <n v="13.2"/>
    <n v="480"/>
    <n v="1"/>
    <n v="0.89741666666666664"/>
    <n v="0.9887640449438202"/>
    <n v="0.88733333333333331"/>
  </r>
  <r>
    <n v="48"/>
    <x v="3"/>
    <x v="2"/>
    <x v="3"/>
    <n v="480"/>
    <n v="138"/>
    <n v="1424"/>
    <n v="1396"/>
    <n v="28"/>
    <n v="13.8"/>
    <n v="342"/>
    <n v="0.71250000000000002"/>
    <n v="0.95766081871345032"/>
    <n v="0.9803370786516854"/>
    <n v="0.66891666666666671"/>
  </r>
  <r>
    <n v="49"/>
    <x v="4"/>
    <x v="0"/>
    <x v="0"/>
    <n v="480"/>
    <n v="0"/>
    <n v="1855"/>
    <n v="1835"/>
    <n v="20"/>
    <n v="12"/>
    <n v="480"/>
    <n v="1"/>
    <n v="0.7729166666666667"/>
    <n v="0.98921832884097038"/>
    <n v="0.76458333333333339"/>
  </r>
  <r>
    <n v="50"/>
    <x v="4"/>
    <x v="0"/>
    <x v="1"/>
    <n v="480"/>
    <n v="0"/>
    <n v="2073"/>
    <n v="2045"/>
    <n v="28"/>
    <n v="12.6"/>
    <n v="480"/>
    <n v="1"/>
    <n v="0.90693749999999995"/>
    <n v="0.98649300530631934"/>
    <n v="0.89468749999999997"/>
  </r>
  <r>
    <n v="51"/>
    <x v="4"/>
    <x v="0"/>
    <x v="2"/>
    <n v="480"/>
    <n v="58"/>
    <n v="1716"/>
    <n v="1624"/>
    <n v="92"/>
    <n v="13.2"/>
    <n v="422"/>
    <n v="0.87916666666666665"/>
    <n v="0.89459715639810411"/>
    <n v="0.94638694638694643"/>
    <n v="0.74433333333333329"/>
  </r>
  <r>
    <n v="52"/>
    <x v="4"/>
    <x v="0"/>
    <x v="3"/>
    <n v="480"/>
    <n v="131"/>
    <n v="1282"/>
    <n v="1246"/>
    <n v="36"/>
    <n v="13.8"/>
    <n v="349"/>
    <n v="0.7270833333333333"/>
    <n v="0.84487106017191993"/>
    <n v="0.97191887675507016"/>
    <n v="0.5970416666666668"/>
  </r>
  <r>
    <n v="53"/>
    <x v="4"/>
    <x v="1"/>
    <x v="0"/>
    <n v="480"/>
    <n v="49"/>
    <n v="2025"/>
    <n v="1973"/>
    <n v="52"/>
    <n v="12"/>
    <n v="431"/>
    <n v="0.8979166666666667"/>
    <n v="0.93967517401392109"/>
    <n v="0.97432098765432096"/>
    <n v="0.82208333333333328"/>
  </r>
  <r>
    <n v="54"/>
    <x v="4"/>
    <x v="1"/>
    <x v="1"/>
    <n v="480"/>
    <n v="139"/>
    <n v="1572"/>
    <n v="1512"/>
    <n v="60"/>
    <n v="12.6"/>
    <n v="341"/>
    <n v="0.7104166666666667"/>
    <n v="0.96809384164222878"/>
    <n v="0.96183206106870234"/>
    <n v="0.66150000000000009"/>
  </r>
  <r>
    <n v="55"/>
    <x v="4"/>
    <x v="1"/>
    <x v="2"/>
    <n v="480"/>
    <n v="73"/>
    <n v="1723"/>
    <n v="1698"/>
    <n v="25"/>
    <n v="13.2"/>
    <n v="407"/>
    <n v="0.84791666666666665"/>
    <n v="0.93135135135135128"/>
    <n v="0.98549042367962858"/>
    <n v="0.77824999999999989"/>
  </r>
  <r>
    <n v="56"/>
    <x v="4"/>
    <x v="1"/>
    <x v="3"/>
    <n v="480"/>
    <n v="11"/>
    <n v="1945"/>
    <n v="1892"/>
    <n v="53"/>
    <n v="13.8"/>
    <n v="469"/>
    <n v="0.9770833333333333"/>
    <n v="0.9538379530916844"/>
    <n v="0.97275064267352185"/>
    <n v="0.9065833333333333"/>
  </r>
  <r>
    <n v="57"/>
    <x v="4"/>
    <x v="2"/>
    <x v="0"/>
    <n v="480"/>
    <n v="0"/>
    <n v="1878"/>
    <n v="1788"/>
    <n v="90"/>
    <n v="12"/>
    <n v="480"/>
    <n v="1"/>
    <n v="0.78249999999999997"/>
    <n v="0.95207667731629397"/>
    <n v="0.745"/>
  </r>
  <r>
    <n v="58"/>
    <x v="4"/>
    <x v="2"/>
    <x v="1"/>
    <n v="480"/>
    <n v="54"/>
    <n v="1555"/>
    <n v="1476"/>
    <n v="79"/>
    <n v="12.6"/>
    <n v="426"/>
    <n v="0.88749999999999996"/>
    <n v="0.76654929577464792"/>
    <n v="0.9491961414790997"/>
    <n v="0.64575000000000005"/>
  </r>
  <r>
    <n v="59"/>
    <x v="4"/>
    <x v="2"/>
    <x v="2"/>
    <n v="480"/>
    <n v="194"/>
    <n v="1086"/>
    <n v="1056"/>
    <n v="30"/>
    <n v="13.2"/>
    <n v="286"/>
    <n v="0.59583333333333333"/>
    <n v="0.83538461538461528"/>
    <n v="0.97237569060773477"/>
    <n v="0.48399999999999987"/>
  </r>
  <r>
    <n v="60"/>
    <x v="4"/>
    <x v="2"/>
    <x v="3"/>
    <n v="480"/>
    <n v="88"/>
    <n v="1461"/>
    <n v="1443"/>
    <n v="18"/>
    <n v="13.8"/>
    <n v="392"/>
    <n v="0.81666666666666665"/>
    <n v="0.85721938775510198"/>
    <n v="0.98767967145790558"/>
    <n v="0.69143749999999993"/>
  </r>
  <r>
    <n v="61"/>
    <x v="5"/>
    <x v="0"/>
    <x v="0"/>
    <n v="480"/>
    <n v="0"/>
    <n v="1864"/>
    <n v="1785"/>
    <n v="79"/>
    <n v="12"/>
    <n v="480"/>
    <n v="1"/>
    <n v="0.77666666666666662"/>
    <n v="0.95761802575107291"/>
    <n v="0.74374999999999991"/>
  </r>
  <r>
    <n v="62"/>
    <x v="5"/>
    <x v="0"/>
    <x v="1"/>
    <n v="480"/>
    <n v="396"/>
    <n v="303"/>
    <n v="287"/>
    <n v="16"/>
    <n v="12.6"/>
    <n v="84"/>
    <n v="0.17499999999999999"/>
    <n v="0.75749999999999995"/>
    <n v="0.94719471947194722"/>
    <n v="0.12556249999999997"/>
  </r>
  <r>
    <n v="63"/>
    <x v="5"/>
    <x v="0"/>
    <x v="2"/>
    <n v="480"/>
    <n v="88"/>
    <n v="1621"/>
    <n v="1568"/>
    <n v="53"/>
    <n v="13.2"/>
    <n v="392"/>
    <n v="0.81666666666666665"/>
    <n v="0.90974489795918356"/>
    <n v="0.96730413325107956"/>
    <n v="0.71866666666666656"/>
  </r>
  <r>
    <n v="64"/>
    <x v="5"/>
    <x v="0"/>
    <x v="3"/>
    <n v="480"/>
    <n v="159"/>
    <n v="1107"/>
    <n v="1071"/>
    <n v="36"/>
    <n v="13.8"/>
    <n v="321"/>
    <n v="0.66874999999999996"/>
    <n v="0.79317757009345802"/>
    <n v="0.96747967479674801"/>
    <n v="0.51318750000000002"/>
  </r>
  <r>
    <n v="65"/>
    <x v="5"/>
    <x v="1"/>
    <x v="0"/>
    <n v="480"/>
    <n v="164"/>
    <n v="1543"/>
    <n v="1474"/>
    <n v="69"/>
    <n v="12"/>
    <n v="316"/>
    <n v="0.65833333333333333"/>
    <n v="0.97658227848101264"/>
    <n v="0.95528191834089438"/>
    <n v="0.61416666666666675"/>
  </r>
  <r>
    <n v="66"/>
    <x v="5"/>
    <x v="1"/>
    <x v="1"/>
    <n v="480"/>
    <n v="17"/>
    <n v="1736"/>
    <n v="1640"/>
    <n v="96"/>
    <n v="12.6"/>
    <n v="463"/>
    <n v="0.96458333333333335"/>
    <n v="0.78738660907127422"/>
    <n v="0.9447004608294931"/>
    <n v="0.71749999999999992"/>
  </r>
  <r>
    <n v="67"/>
    <x v="5"/>
    <x v="1"/>
    <x v="2"/>
    <n v="480"/>
    <n v="167"/>
    <n v="1261"/>
    <n v="1225"/>
    <n v="36"/>
    <n v="13.2"/>
    <n v="313"/>
    <n v="0.65208333333333335"/>
    <n v="0.88632587859424927"/>
    <n v="0.97145122918318794"/>
    <n v="0.56145833333333339"/>
  </r>
  <r>
    <n v="68"/>
    <x v="5"/>
    <x v="1"/>
    <x v="3"/>
    <n v="480"/>
    <n v="416"/>
    <n v="269"/>
    <n v="255"/>
    <n v="14"/>
    <n v="13.8"/>
    <n v="64"/>
    <n v="0.13333333333333333"/>
    <n v="0.96671875000000007"/>
    <n v="0.94795539033457255"/>
    <n v="0.12218750000000002"/>
  </r>
  <r>
    <n v="69"/>
    <x v="5"/>
    <x v="2"/>
    <x v="0"/>
    <n v="480"/>
    <n v="138"/>
    <n v="1520"/>
    <n v="1488"/>
    <n v="32"/>
    <n v="12"/>
    <n v="342"/>
    <n v="0.71250000000000002"/>
    <n v="0.88888888888888884"/>
    <n v="0.97894736842105268"/>
    <n v="0.62"/>
  </r>
  <r>
    <n v="70"/>
    <x v="5"/>
    <x v="2"/>
    <x v="1"/>
    <n v="480"/>
    <n v="79"/>
    <n v="1660"/>
    <n v="1573"/>
    <n v="87"/>
    <n v="12.6"/>
    <n v="401"/>
    <n v="0.8354166666666667"/>
    <n v="0.86932668329177054"/>
    <n v="0.94759036144578312"/>
    <n v="0.68818749999999995"/>
  </r>
  <r>
    <n v="71"/>
    <x v="5"/>
    <x v="2"/>
    <x v="2"/>
    <n v="480"/>
    <n v="26"/>
    <n v="1612"/>
    <n v="1595"/>
    <n v="17"/>
    <n v="13.2"/>
    <n v="454"/>
    <n v="0.9458333333333333"/>
    <n v="0.78114537444933918"/>
    <n v="0.98945409429280395"/>
    <n v="0.73104166666666659"/>
  </r>
  <r>
    <n v="72"/>
    <x v="5"/>
    <x v="2"/>
    <x v="3"/>
    <n v="480"/>
    <n v="11"/>
    <n v="1953"/>
    <n v="1900"/>
    <n v="53"/>
    <n v="13.8"/>
    <n v="469"/>
    <n v="0.9770833333333333"/>
    <n v="0.95776119402985083"/>
    <n v="0.97286226318484381"/>
    <n v="0.91041666666666665"/>
  </r>
  <r>
    <n v="73"/>
    <x v="6"/>
    <x v="0"/>
    <x v="0"/>
    <n v="480"/>
    <n v="68"/>
    <n v="1984"/>
    <n v="1916"/>
    <n v="68"/>
    <n v="12"/>
    <n v="412"/>
    <n v="0.85833333333333328"/>
    <n v="0.96310679611650485"/>
    <n v="0.96572580645161288"/>
    <n v="0.79833333333333334"/>
  </r>
  <r>
    <n v="74"/>
    <x v="6"/>
    <x v="0"/>
    <x v="1"/>
    <n v="480"/>
    <n v="40"/>
    <n v="1729"/>
    <n v="1657"/>
    <n v="72"/>
    <n v="12.6"/>
    <n v="440"/>
    <n v="0.91666666666666663"/>
    <n v="0.82520454545454536"/>
    <n v="0.95835743204164259"/>
    <n v="0.7249374999999999"/>
  </r>
  <r>
    <n v="75"/>
    <x v="6"/>
    <x v="0"/>
    <x v="2"/>
    <n v="480"/>
    <n v="6"/>
    <n v="1691"/>
    <n v="1663"/>
    <n v="28"/>
    <n v="13.2"/>
    <n v="474"/>
    <n v="0.98750000000000004"/>
    <n v="0.78485232067510535"/>
    <n v="0.98344175044352455"/>
    <n v="0.76220833333333315"/>
  </r>
  <r>
    <n v="76"/>
    <x v="6"/>
    <x v="0"/>
    <x v="3"/>
    <n v="480"/>
    <n v="102"/>
    <n v="1411"/>
    <n v="1350"/>
    <n v="61"/>
    <n v="13.8"/>
    <n v="378"/>
    <n v="0.78749999999999998"/>
    <n v="0.8585449735449735"/>
    <n v="0.95676824946846206"/>
    <n v="0.64687499999999998"/>
  </r>
  <r>
    <n v="77"/>
    <x v="6"/>
    <x v="1"/>
    <x v="0"/>
    <n v="480"/>
    <n v="0"/>
    <n v="1906"/>
    <n v="1884"/>
    <n v="22"/>
    <n v="12"/>
    <n v="480"/>
    <n v="1"/>
    <n v="0.79416666666666669"/>
    <n v="0.9884575026232949"/>
    <n v="0.78500000000000003"/>
  </r>
  <r>
    <n v="78"/>
    <x v="6"/>
    <x v="1"/>
    <x v="1"/>
    <n v="480"/>
    <n v="0"/>
    <n v="1860"/>
    <n v="1825"/>
    <n v="35"/>
    <n v="12.6"/>
    <n v="480"/>
    <n v="1"/>
    <n v="0.81374999999999997"/>
    <n v="0.98118279569892475"/>
    <n v="0.79843750000000002"/>
  </r>
  <r>
    <n v="79"/>
    <x v="6"/>
    <x v="1"/>
    <x v="2"/>
    <n v="480"/>
    <n v="0"/>
    <n v="1696"/>
    <n v="1640"/>
    <n v="56"/>
    <n v="13.2"/>
    <n v="480"/>
    <n v="1"/>
    <n v="0.77733333333333321"/>
    <n v="0.96698113207547165"/>
    <n v="0.75166666666666648"/>
  </r>
  <r>
    <n v="80"/>
    <x v="6"/>
    <x v="1"/>
    <x v="3"/>
    <n v="480"/>
    <n v="0"/>
    <n v="1740"/>
    <n v="1679"/>
    <n v="61"/>
    <n v="13.8"/>
    <n v="480"/>
    <n v="1"/>
    <n v="0.83374999999999999"/>
    <n v="0.96494252873563213"/>
    <n v="0.80452083333333324"/>
  </r>
  <r>
    <n v="81"/>
    <x v="6"/>
    <x v="2"/>
    <x v="0"/>
    <n v="480"/>
    <n v="14"/>
    <n v="1791"/>
    <n v="1695"/>
    <n v="96"/>
    <n v="12"/>
    <n v="466"/>
    <n v="0.97083333333333333"/>
    <n v="0.76866952789699572"/>
    <n v="0.94639865996649919"/>
    <n v="0.70625000000000004"/>
  </r>
  <r>
    <n v="82"/>
    <x v="6"/>
    <x v="2"/>
    <x v="1"/>
    <n v="480"/>
    <n v="73"/>
    <n v="1787"/>
    <n v="1753"/>
    <n v="34"/>
    <n v="12.6"/>
    <n v="407"/>
    <n v="0.84791666666666665"/>
    <n v="0.92203931203931211"/>
    <n v="0.98097369893676556"/>
    <n v="0.76693750000000005"/>
  </r>
  <r>
    <n v="83"/>
    <x v="6"/>
    <x v="2"/>
    <x v="2"/>
    <n v="480"/>
    <n v="0"/>
    <n v="1822"/>
    <n v="1760"/>
    <n v="62"/>
    <n v="13.2"/>
    <n v="480"/>
    <n v="1"/>
    <n v="0.83508333333333329"/>
    <n v="0.96597145993413835"/>
    <n v="0.80666666666666664"/>
  </r>
  <r>
    <n v="84"/>
    <x v="6"/>
    <x v="2"/>
    <x v="3"/>
    <n v="480"/>
    <n v="61"/>
    <n v="1741"/>
    <n v="1680"/>
    <n v="61"/>
    <n v="13.8"/>
    <n v="419"/>
    <n v="0.87291666666666667"/>
    <n v="0.95568019093078771"/>
    <n v="0.96496266513497986"/>
    <n v="0.80500000000000005"/>
  </r>
  <r>
    <n v="85"/>
    <x v="7"/>
    <x v="0"/>
    <x v="0"/>
    <n v="480"/>
    <n v="15"/>
    <n v="1873"/>
    <n v="1830"/>
    <n v="43"/>
    <n v="12"/>
    <n v="465"/>
    <n v="0.96875"/>
    <n v="0.80559139784946232"/>
    <n v="0.97704217832354512"/>
    <n v="0.76249999999999996"/>
  </r>
  <r>
    <n v="86"/>
    <x v="7"/>
    <x v="0"/>
    <x v="1"/>
    <n v="480"/>
    <n v="10"/>
    <n v="1847"/>
    <n v="1818"/>
    <n v="29"/>
    <n v="12.6"/>
    <n v="470"/>
    <n v="0.97916666666666663"/>
    <n v="0.82525531914893624"/>
    <n v="0.98429886302111536"/>
    <n v="0.79537500000000005"/>
  </r>
  <r>
    <n v="87"/>
    <x v="7"/>
    <x v="0"/>
    <x v="2"/>
    <n v="480"/>
    <n v="86"/>
    <n v="1609"/>
    <n v="1547"/>
    <n v="62"/>
    <n v="13.2"/>
    <n v="394"/>
    <n v="0.8208333333333333"/>
    <n v="0.89842639593908624"/>
    <n v="0.96146674953387201"/>
    <n v="0.70904166666666657"/>
  </r>
  <r>
    <n v="88"/>
    <x v="7"/>
    <x v="0"/>
    <x v="3"/>
    <n v="480"/>
    <n v="17"/>
    <n v="1584"/>
    <n v="1554"/>
    <n v="30"/>
    <n v="13.8"/>
    <n v="463"/>
    <n v="0.96458333333333335"/>
    <n v="0.78686825053995679"/>
    <n v="0.98106060606060608"/>
    <n v="0.74462499999999998"/>
  </r>
  <r>
    <n v="89"/>
    <x v="7"/>
    <x v="1"/>
    <x v="0"/>
    <n v="480"/>
    <n v="5"/>
    <n v="2067"/>
    <n v="2004"/>
    <n v="63"/>
    <n v="12"/>
    <n v="475"/>
    <n v="0.98958333333333337"/>
    <n v="0.87031578947368426"/>
    <n v="0.96952104499274305"/>
    <n v="0.83500000000000008"/>
  </r>
  <r>
    <n v="90"/>
    <x v="7"/>
    <x v="1"/>
    <x v="1"/>
    <n v="480"/>
    <n v="69"/>
    <n v="1857"/>
    <n v="1763"/>
    <n v="94"/>
    <n v="12.6"/>
    <n v="411"/>
    <n v="0.85624999999999996"/>
    <n v="0.94883211678832124"/>
    <n v="0.9493807215939688"/>
    <n v="0.77131250000000007"/>
  </r>
  <r>
    <n v="91"/>
    <x v="7"/>
    <x v="1"/>
    <x v="2"/>
    <n v="480"/>
    <n v="79"/>
    <n v="1600"/>
    <n v="1539"/>
    <n v="61"/>
    <n v="13.2"/>
    <n v="401"/>
    <n v="0.8354166666666667"/>
    <n v="0.87780548628428923"/>
    <n v="0.96187500000000004"/>
    <n v="0.70537499999999997"/>
  </r>
  <r>
    <n v="92"/>
    <x v="7"/>
    <x v="1"/>
    <x v="3"/>
    <n v="480"/>
    <n v="17"/>
    <n v="1706"/>
    <n v="1646"/>
    <n v="60"/>
    <n v="13.8"/>
    <n v="463"/>
    <n v="0.96458333333333335"/>
    <n v="0.84747300215982735"/>
    <n v="0.96483001172332938"/>
    <n v="0.78870833333333346"/>
  </r>
  <r>
    <n v="93"/>
    <x v="7"/>
    <x v="2"/>
    <x v="0"/>
    <n v="480"/>
    <n v="10"/>
    <n v="2076"/>
    <n v="2040"/>
    <n v="36"/>
    <n v="12"/>
    <n v="470"/>
    <n v="0.97916666666666663"/>
    <n v="0.8834042553191489"/>
    <n v="0.98265895953757221"/>
    <n v="0.84999999999999987"/>
  </r>
  <r>
    <n v="94"/>
    <x v="7"/>
    <x v="2"/>
    <x v="1"/>
    <n v="480"/>
    <n v="213"/>
    <n v="1047"/>
    <n v="995"/>
    <n v="52"/>
    <n v="12.6"/>
    <n v="267"/>
    <n v="0.55625000000000002"/>
    <n v="0.82348314606741568"/>
    <n v="0.95033428844317092"/>
    <n v="0.43531249999999994"/>
  </r>
  <r>
    <n v="95"/>
    <x v="7"/>
    <x v="2"/>
    <x v="2"/>
    <n v="480"/>
    <n v="13"/>
    <n v="1822"/>
    <n v="1767"/>
    <n v="55"/>
    <n v="13.2"/>
    <n v="467"/>
    <n v="0.97291666666666665"/>
    <n v="0.85832976445396136"/>
    <n v="0.96981339187705817"/>
    <n v="0.80987499999999979"/>
  </r>
  <r>
    <n v="96"/>
    <x v="7"/>
    <x v="2"/>
    <x v="3"/>
    <n v="480"/>
    <n v="118"/>
    <n v="1468"/>
    <n v="1439"/>
    <n v="29"/>
    <n v="13.8"/>
    <n v="362"/>
    <n v="0.75416666666666665"/>
    <n v="0.93270718232044203"/>
    <n v="0.98024523160762944"/>
    <n v="0.68952083333333336"/>
  </r>
  <r>
    <n v="97"/>
    <x v="8"/>
    <x v="0"/>
    <x v="0"/>
    <n v="480"/>
    <n v="0"/>
    <n v="1890"/>
    <n v="1795"/>
    <n v="95"/>
    <n v="12"/>
    <n v="480"/>
    <n v="1"/>
    <n v="0.78749999999999998"/>
    <n v="0.94973544973544977"/>
    <n v="0.74791666666666667"/>
  </r>
  <r>
    <n v="98"/>
    <x v="8"/>
    <x v="0"/>
    <x v="1"/>
    <n v="480"/>
    <n v="20"/>
    <n v="1832"/>
    <n v="1772"/>
    <n v="60"/>
    <n v="12.6"/>
    <n v="460"/>
    <n v="0.95833333333333337"/>
    <n v="0.83634782608695657"/>
    <n v="0.96724890829694321"/>
    <n v="0.77525000000000011"/>
  </r>
  <r>
    <n v="99"/>
    <x v="8"/>
    <x v="0"/>
    <x v="2"/>
    <n v="480"/>
    <n v="118"/>
    <n v="1577"/>
    <n v="1513"/>
    <n v="64"/>
    <n v="13.2"/>
    <n v="362"/>
    <n v="0.75416666666666665"/>
    <n v="0.9583977900552485"/>
    <n v="0.9594166138237159"/>
    <n v="0.69345833333333329"/>
  </r>
  <r>
    <n v="100"/>
    <x v="8"/>
    <x v="0"/>
    <x v="3"/>
    <n v="480"/>
    <n v="0"/>
    <n v="2016"/>
    <n v="1933"/>
    <n v="83"/>
    <n v="13.8"/>
    <n v="480"/>
    <n v="1"/>
    <n v="0.96600000000000008"/>
    <n v="0.95882936507936511"/>
    <n v="0.92622916666666677"/>
  </r>
  <r>
    <n v="101"/>
    <x v="8"/>
    <x v="1"/>
    <x v="0"/>
    <n v="480"/>
    <n v="14"/>
    <n v="2033"/>
    <n v="1922"/>
    <n v="111"/>
    <n v="12"/>
    <n v="466"/>
    <n v="0.97083333333333333"/>
    <n v="0.87253218884120176"/>
    <n v="0.94540088539104772"/>
    <n v="0.8008333333333334"/>
  </r>
  <r>
    <n v="102"/>
    <x v="8"/>
    <x v="1"/>
    <x v="1"/>
    <n v="480"/>
    <n v="12"/>
    <n v="2052"/>
    <n v="2029"/>
    <n v="23"/>
    <n v="12.6"/>
    <n v="468"/>
    <n v="0.97499999999999998"/>
    <n v="0.92076923076923078"/>
    <n v="0.98879142300194933"/>
    <n v="0.88768750000000007"/>
  </r>
  <r>
    <n v="103"/>
    <x v="8"/>
    <x v="1"/>
    <x v="2"/>
    <n v="480"/>
    <n v="41"/>
    <n v="1565"/>
    <n v="1532"/>
    <n v="33"/>
    <n v="13.2"/>
    <n v="439"/>
    <n v="0.9145833333333333"/>
    <n v="0.78428246013667424"/>
    <n v="0.97891373801916937"/>
    <n v="0.70216666666666672"/>
  </r>
  <r>
    <n v="104"/>
    <x v="8"/>
    <x v="1"/>
    <x v="3"/>
    <n v="480"/>
    <n v="194"/>
    <n v="976"/>
    <n v="938"/>
    <n v="38"/>
    <n v="13.8"/>
    <n v="286"/>
    <n v="0.59583333333333333"/>
    <n v="0.78489510489510494"/>
    <n v="0.96106557377049184"/>
    <n v="0.44945833333333335"/>
  </r>
  <r>
    <n v="105"/>
    <x v="8"/>
    <x v="2"/>
    <x v="0"/>
    <n v="480"/>
    <n v="90"/>
    <n v="1876"/>
    <n v="1791"/>
    <n v="85"/>
    <n v="12"/>
    <n v="390"/>
    <n v="0.8125"/>
    <n v="0.9620512820512821"/>
    <n v="0.95469083155650325"/>
    <n v="0.74625000000000008"/>
  </r>
  <r>
    <n v="106"/>
    <x v="8"/>
    <x v="2"/>
    <x v="1"/>
    <n v="480"/>
    <n v="0"/>
    <n v="2017"/>
    <n v="1936"/>
    <n v="81"/>
    <n v="12.6"/>
    <n v="480"/>
    <n v="1"/>
    <n v="0.88243749999999999"/>
    <n v="0.95984134853743186"/>
    <n v="0.84699999999999998"/>
  </r>
  <r>
    <n v="107"/>
    <x v="8"/>
    <x v="2"/>
    <x v="2"/>
    <n v="480"/>
    <n v="260"/>
    <n v="841"/>
    <n v="831"/>
    <n v="10"/>
    <n v="13.2"/>
    <n v="220"/>
    <n v="0.45833333333333331"/>
    <n v="0.84099999999999997"/>
    <n v="0.98810939357907257"/>
    <n v="0.38087499999999996"/>
  </r>
  <r>
    <n v="108"/>
    <x v="8"/>
    <x v="2"/>
    <x v="3"/>
    <n v="480"/>
    <n v="72"/>
    <n v="1471"/>
    <n v="1431"/>
    <n v="40"/>
    <n v="13.8"/>
    <n v="408"/>
    <n v="0.85"/>
    <n v="0.82924019607843136"/>
    <n v="0.97280761386811698"/>
    <n v="0.68568750000000001"/>
  </r>
  <r>
    <n v="109"/>
    <x v="9"/>
    <x v="0"/>
    <x v="0"/>
    <n v="480"/>
    <n v="36"/>
    <n v="1878"/>
    <n v="1774"/>
    <n v="104"/>
    <n v="12"/>
    <n v="444"/>
    <n v="0.92500000000000004"/>
    <n v="0.84594594594594597"/>
    <n v="0.9446219382321619"/>
    <n v="0.73916666666666675"/>
  </r>
  <r>
    <n v="110"/>
    <x v="9"/>
    <x v="0"/>
    <x v="1"/>
    <n v="480"/>
    <n v="5"/>
    <n v="2041"/>
    <n v="2003"/>
    <n v="38"/>
    <n v="12.6"/>
    <n v="475"/>
    <n v="0.98958333333333337"/>
    <n v="0.9023368421052631"/>
    <n v="0.98138167564919154"/>
    <n v="0.87631249999999994"/>
  </r>
  <r>
    <n v="111"/>
    <x v="9"/>
    <x v="0"/>
    <x v="2"/>
    <n v="480"/>
    <n v="5"/>
    <n v="2114"/>
    <n v="2040"/>
    <n v="74"/>
    <n v="13.2"/>
    <n v="475"/>
    <n v="0.98958333333333337"/>
    <n v="0.97911578947368416"/>
    <n v="0.96499526963103122"/>
    <n v="0.93499999999999994"/>
  </r>
  <r>
    <n v="112"/>
    <x v="9"/>
    <x v="0"/>
    <x v="3"/>
    <n v="480"/>
    <n v="7"/>
    <n v="1967"/>
    <n v="1928"/>
    <n v="39"/>
    <n v="13.8"/>
    <n v="473"/>
    <n v="0.98541666666666672"/>
    <n v="0.95646934460887956"/>
    <n v="0.98017285205897309"/>
    <n v="0.92383333333333351"/>
  </r>
  <r>
    <n v="113"/>
    <x v="9"/>
    <x v="1"/>
    <x v="0"/>
    <n v="480"/>
    <n v="0"/>
    <n v="1820"/>
    <n v="1759"/>
    <n v="61"/>
    <n v="12"/>
    <n v="480"/>
    <n v="1"/>
    <n v="0.7583333333333333"/>
    <n v="0.96648351648351649"/>
    <n v="0.73291666666666666"/>
  </r>
  <r>
    <n v="114"/>
    <x v="9"/>
    <x v="1"/>
    <x v="1"/>
    <n v="480"/>
    <n v="9"/>
    <n v="1952"/>
    <n v="1890"/>
    <n v="62"/>
    <n v="12.6"/>
    <n v="471"/>
    <n v="0.98124999999999996"/>
    <n v="0.87031847133757967"/>
    <n v="0.96823770491803274"/>
    <n v="0.82687499999999992"/>
  </r>
  <r>
    <n v="115"/>
    <x v="9"/>
    <x v="1"/>
    <x v="2"/>
    <n v="480"/>
    <n v="117"/>
    <n v="1340"/>
    <n v="1284"/>
    <n v="56"/>
    <n v="13.2"/>
    <n v="363"/>
    <n v="0.75624999999999998"/>
    <n v="0.81212121212121213"/>
    <n v="0.95820895522388061"/>
    <n v="0.58850000000000002"/>
  </r>
  <r>
    <n v="116"/>
    <x v="9"/>
    <x v="1"/>
    <x v="3"/>
    <n v="480"/>
    <n v="56"/>
    <n v="1661"/>
    <n v="1643"/>
    <n v="18"/>
    <n v="13.8"/>
    <n v="424"/>
    <n v="0.8833333333333333"/>
    <n v="0.90101415094339632"/>
    <n v="0.98916315472606864"/>
    <n v="0.78727083333333336"/>
  </r>
  <r>
    <n v="117"/>
    <x v="9"/>
    <x v="2"/>
    <x v="0"/>
    <n v="480"/>
    <n v="0"/>
    <n v="1927"/>
    <n v="1843"/>
    <n v="84"/>
    <n v="12"/>
    <n v="480"/>
    <n v="1"/>
    <n v="0.80291666666666661"/>
    <n v="0.95640892579138559"/>
    <n v="0.76791666666666658"/>
  </r>
  <r>
    <n v="118"/>
    <x v="9"/>
    <x v="2"/>
    <x v="1"/>
    <n v="480"/>
    <n v="0"/>
    <n v="1769"/>
    <n v="1681"/>
    <n v="88"/>
    <n v="12.6"/>
    <n v="480"/>
    <n v="1"/>
    <n v="0.77393749999999994"/>
    <n v="0.95025438100621817"/>
    <n v="0.73543749999999997"/>
  </r>
  <r>
    <n v="119"/>
    <x v="9"/>
    <x v="2"/>
    <x v="2"/>
    <n v="480"/>
    <n v="0"/>
    <n v="1963"/>
    <n v="1920"/>
    <n v="43"/>
    <n v="13.2"/>
    <n v="480"/>
    <n v="1"/>
    <n v="0.89970833333333333"/>
    <n v="0.97809475292919001"/>
    <n v="0.88"/>
  </r>
  <r>
    <n v="120"/>
    <x v="9"/>
    <x v="2"/>
    <x v="3"/>
    <n v="480"/>
    <n v="0"/>
    <n v="1681"/>
    <n v="1604"/>
    <n v="77"/>
    <n v="13.8"/>
    <n v="480"/>
    <n v="1"/>
    <n v="0.80547916666666675"/>
    <n v="0.95419393218322424"/>
    <n v="0.7685833333333334"/>
  </r>
  <r>
    <n v="121"/>
    <x v="10"/>
    <x v="0"/>
    <x v="0"/>
    <n v="480"/>
    <n v="30"/>
    <n v="1701"/>
    <n v="1669"/>
    <n v="32"/>
    <n v="12"/>
    <n v="450"/>
    <n v="0.9375"/>
    <n v="0.75600000000000001"/>
    <n v="0.98118753674309234"/>
    <n v="0.69541666666666668"/>
  </r>
  <r>
    <n v="122"/>
    <x v="10"/>
    <x v="0"/>
    <x v="1"/>
    <n v="480"/>
    <n v="27"/>
    <n v="1910"/>
    <n v="1866"/>
    <n v="44"/>
    <n v="12.6"/>
    <n v="453"/>
    <n v="0.94374999999999998"/>
    <n v="0.88543046357615895"/>
    <n v="0.97696335078534036"/>
    <n v="0.81637499999999996"/>
  </r>
  <r>
    <n v="123"/>
    <x v="10"/>
    <x v="0"/>
    <x v="2"/>
    <n v="480"/>
    <n v="92"/>
    <n v="1379"/>
    <n v="1306"/>
    <n v="73"/>
    <n v="13.2"/>
    <n v="388"/>
    <n v="0.80833333333333335"/>
    <n v="0.78190721649484529"/>
    <n v="0.94706308919506887"/>
    <n v="0.59858333333333325"/>
  </r>
  <r>
    <n v="124"/>
    <x v="10"/>
    <x v="0"/>
    <x v="3"/>
    <n v="480"/>
    <n v="40"/>
    <n v="1802"/>
    <n v="1696"/>
    <n v="106"/>
    <n v="13.8"/>
    <n v="440"/>
    <n v="0.91666666666666663"/>
    <n v="0.94195454545454549"/>
    <n v="0.94117647058823528"/>
    <n v="0.81266666666666665"/>
  </r>
  <r>
    <n v="125"/>
    <x v="10"/>
    <x v="1"/>
    <x v="0"/>
    <n v="480"/>
    <n v="5"/>
    <n v="2280"/>
    <n v="2244"/>
    <n v="36"/>
    <n v="12"/>
    <n v="475"/>
    <n v="0.98958333333333337"/>
    <n v="0.96"/>
    <n v="0.98421052631578942"/>
    <n v="0.93499999999999994"/>
  </r>
  <r>
    <n v="126"/>
    <x v="10"/>
    <x v="1"/>
    <x v="1"/>
    <n v="480"/>
    <n v="21"/>
    <n v="2056"/>
    <n v="2015"/>
    <n v="41"/>
    <n v="12.6"/>
    <n v="459"/>
    <n v="0.95625000000000004"/>
    <n v="0.94065359477124177"/>
    <n v="0.98005836575875482"/>
    <n v="0.88156249999999992"/>
  </r>
  <r>
    <n v="127"/>
    <x v="10"/>
    <x v="1"/>
    <x v="2"/>
    <n v="480"/>
    <n v="0"/>
    <n v="1705"/>
    <n v="1612"/>
    <n v="93"/>
    <n v="13.2"/>
    <n v="480"/>
    <n v="1"/>
    <n v="0.78145833333333337"/>
    <n v="0.94545454545454544"/>
    <n v="0.73883333333333334"/>
  </r>
  <r>
    <n v="128"/>
    <x v="10"/>
    <x v="1"/>
    <x v="3"/>
    <n v="480"/>
    <n v="124"/>
    <n v="1220"/>
    <n v="1163"/>
    <n v="57"/>
    <n v="13.8"/>
    <n v="356"/>
    <n v="0.7416666666666667"/>
    <n v="0.78820224719101128"/>
    <n v="0.95327868852459019"/>
    <n v="0.55727083333333338"/>
  </r>
  <r>
    <n v="129"/>
    <x v="10"/>
    <x v="2"/>
    <x v="0"/>
    <n v="480"/>
    <n v="0"/>
    <n v="2132"/>
    <n v="2085"/>
    <n v="47"/>
    <n v="12"/>
    <n v="480"/>
    <n v="1"/>
    <n v="0.88833333333333331"/>
    <n v="0.97795497185741087"/>
    <n v="0.86874999999999991"/>
  </r>
  <r>
    <n v="130"/>
    <x v="10"/>
    <x v="2"/>
    <x v="1"/>
    <n v="480"/>
    <n v="25"/>
    <n v="1773"/>
    <n v="1706"/>
    <n v="67"/>
    <n v="12.6"/>
    <n v="455"/>
    <n v="0.94791666666666663"/>
    <n v="0.81830769230769229"/>
    <n v="0.96221094190637335"/>
    <n v="0.7463749999999999"/>
  </r>
  <r>
    <n v="131"/>
    <x v="10"/>
    <x v="2"/>
    <x v="2"/>
    <n v="480"/>
    <n v="75"/>
    <n v="1633"/>
    <n v="1590"/>
    <n v="43"/>
    <n v="13.2"/>
    <n v="405"/>
    <n v="0.84375"/>
    <n v="0.8870617283950617"/>
    <n v="0.97366809552969991"/>
    <n v="0.72875000000000001"/>
  </r>
  <r>
    <n v="132"/>
    <x v="10"/>
    <x v="2"/>
    <x v="3"/>
    <n v="480"/>
    <n v="58"/>
    <n v="1585"/>
    <n v="1515"/>
    <n v="70"/>
    <n v="13.8"/>
    <n v="422"/>
    <n v="0.87916666666666665"/>
    <n v="0.86386255924170618"/>
    <n v="0.95583596214511046"/>
    <n v="0.72593750000000012"/>
  </r>
  <r>
    <n v="133"/>
    <x v="11"/>
    <x v="0"/>
    <x v="0"/>
    <n v="480"/>
    <n v="24"/>
    <n v="2074"/>
    <n v="2026"/>
    <n v="48"/>
    <n v="12"/>
    <n v="456"/>
    <n v="0.95"/>
    <n v="0.9096491228070176"/>
    <n v="0.97685631629701064"/>
    <n v="0.84416666666666662"/>
  </r>
  <r>
    <n v="134"/>
    <x v="11"/>
    <x v="0"/>
    <x v="1"/>
    <n v="480"/>
    <n v="112"/>
    <n v="1369"/>
    <n v="1291"/>
    <n v="78"/>
    <n v="12.6"/>
    <n v="368"/>
    <n v="0.76666666666666672"/>
    <n v="0.78122282608695637"/>
    <n v="0.94302410518626734"/>
    <n v="0.56481249999999994"/>
  </r>
  <r>
    <n v="135"/>
    <x v="11"/>
    <x v="0"/>
    <x v="2"/>
    <n v="480"/>
    <n v="41"/>
    <n v="1832"/>
    <n v="1740"/>
    <n v="92"/>
    <n v="13.2"/>
    <n v="439"/>
    <n v="0.9145833333333333"/>
    <n v="0.91808656036446457"/>
    <n v="0.94978165938864634"/>
    <n v="0.79749999999999999"/>
  </r>
  <r>
    <n v="136"/>
    <x v="11"/>
    <x v="0"/>
    <x v="3"/>
    <n v="480"/>
    <n v="233"/>
    <n v="1033"/>
    <n v="1014"/>
    <n v="19"/>
    <n v="13.8"/>
    <n v="247"/>
    <n v="0.51458333333333328"/>
    <n v="0.96190283400809728"/>
    <n v="0.98160696999031949"/>
    <n v="0.48587500000000006"/>
  </r>
  <r>
    <n v="137"/>
    <x v="11"/>
    <x v="1"/>
    <x v="0"/>
    <n v="480"/>
    <n v="98"/>
    <n v="1847"/>
    <n v="1785"/>
    <n v="62"/>
    <n v="12"/>
    <n v="382"/>
    <n v="0.79583333333333328"/>
    <n v="0.96701570680628268"/>
    <n v="0.96643205197617754"/>
    <n v="0.74374999999999991"/>
  </r>
  <r>
    <n v="138"/>
    <x v="11"/>
    <x v="1"/>
    <x v="1"/>
    <n v="480"/>
    <n v="98"/>
    <n v="1506"/>
    <n v="1437"/>
    <n v="69"/>
    <n v="12.6"/>
    <n v="382"/>
    <n v="0.79583333333333328"/>
    <n v="0.82790575916230358"/>
    <n v="0.95418326693227096"/>
    <n v="0.62868749999999995"/>
  </r>
  <r>
    <n v="139"/>
    <x v="11"/>
    <x v="1"/>
    <x v="2"/>
    <n v="480"/>
    <n v="0"/>
    <n v="1794"/>
    <n v="1728"/>
    <n v="66"/>
    <n v="13.2"/>
    <n v="480"/>
    <n v="1"/>
    <n v="0.82224999999999993"/>
    <n v="0.96321070234113715"/>
    <n v="0.79199999999999993"/>
  </r>
  <r>
    <n v="140"/>
    <x v="11"/>
    <x v="1"/>
    <x v="3"/>
    <n v="480"/>
    <n v="28"/>
    <n v="1867"/>
    <n v="1847"/>
    <n v="20"/>
    <n v="13.8"/>
    <n v="452"/>
    <n v="0.94166666666666665"/>
    <n v="0.95002212389380536"/>
    <n v="0.98928762720942687"/>
    <n v="0.88502083333333326"/>
  </r>
  <r>
    <n v="141"/>
    <x v="11"/>
    <x v="2"/>
    <x v="0"/>
    <n v="480"/>
    <n v="163"/>
    <n v="1275"/>
    <n v="1256"/>
    <n v="19"/>
    <n v="12"/>
    <n v="317"/>
    <n v="0.66041666666666665"/>
    <n v="0.80441640378548895"/>
    <n v="0.98509803921568628"/>
    <n v="0.52333333333333332"/>
  </r>
  <r>
    <n v="142"/>
    <x v="11"/>
    <x v="2"/>
    <x v="1"/>
    <n v="480"/>
    <n v="11"/>
    <n v="1696"/>
    <n v="1678"/>
    <n v="18"/>
    <n v="12.6"/>
    <n v="469"/>
    <n v="0.9770833333333333"/>
    <n v="0.75940298507462678"/>
    <n v="0.98938679245283023"/>
    <n v="0.73412499999999992"/>
  </r>
  <r>
    <n v="143"/>
    <x v="11"/>
    <x v="2"/>
    <x v="2"/>
    <n v="480"/>
    <n v="99"/>
    <n v="1334"/>
    <n v="1293"/>
    <n v="41"/>
    <n v="13.2"/>
    <n v="381"/>
    <n v="0.79374999999999996"/>
    <n v="0.77028871391076115"/>
    <n v="0.96926536731634183"/>
    <n v="0.59262499999999996"/>
  </r>
  <r>
    <n v="144"/>
    <x v="11"/>
    <x v="2"/>
    <x v="3"/>
    <n v="480"/>
    <n v="106"/>
    <n v="1302"/>
    <n v="1277"/>
    <n v="25"/>
    <n v="13.8"/>
    <n v="374"/>
    <n v="0.77916666666666667"/>
    <n v="0.80069518716577548"/>
    <n v="0.98079877112135172"/>
    <n v="0.61189583333333342"/>
  </r>
  <r>
    <n v="145"/>
    <x v="12"/>
    <x v="0"/>
    <x v="0"/>
    <n v="480"/>
    <n v="261"/>
    <n v="865"/>
    <n v="840"/>
    <n v="25"/>
    <n v="12"/>
    <n v="219"/>
    <n v="0.45624999999999999"/>
    <n v="0.78995433789954339"/>
    <n v="0.97109826589595372"/>
    <n v="0.35"/>
  </r>
  <r>
    <n v="146"/>
    <x v="12"/>
    <x v="0"/>
    <x v="1"/>
    <n v="480"/>
    <n v="39"/>
    <n v="1861"/>
    <n v="1789"/>
    <n v="72"/>
    <n v="12.6"/>
    <n v="441"/>
    <n v="0.91874999999999996"/>
    <n v="0.88619047619047608"/>
    <n v="0.96131112305212252"/>
    <n v="0.78268749999999987"/>
  </r>
  <r>
    <n v="147"/>
    <x v="12"/>
    <x v="0"/>
    <x v="2"/>
    <n v="480"/>
    <n v="0"/>
    <n v="2076"/>
    <n v="2028"/>
    <n v="48"/>
    <n v="13.2"/>
    <n v="480"/>
    <n v="1"/>
    <n v="0.9514999999999999"/>
    <n v="0.97687861271676302"/>
    <n v="0.92949999999999988"/>
  </r>
  <r>
    <n v="148"/>
    <x v="12"/>
    <x v="0"/>
    <x v="3"/>
    <n v="480"/>
    <n v="0"/>
    <n v="1991"/>
    <n v="1876"/>
    <n v="115"/>
    <n v="13.8"/>
    <n v="480"/>
    <n v="1"/>
    <n v="0.95402083333333343"/>
    <n v="0.94224008036162732"/>
    <n v="0.89891666666666681"/>
  </r>
  <r>
    <n v="149"/>
    <x v="12"/>
    <x v="1"/>
    <x v="0"/>
    <n v="480"/>
    <n v="122"/>
    <n v="1373"/>
    <n v="1301"/>
    <n v="72"/>
    <n v="12"/>
    <n v="358"/>
    <n v="0.74583333333333335"/>
    <n v="0.76703910614525139"/>
    <n v="0.94756008739985431"/>
    <n v="0.54208333333333336"/>
  </r>
  <r>
    <n v="150"/>
    <x v="12"/>
    <x v="1"/>
    <x v="1"/>
    <n v="480"/>
    <n v="31"/>
    <n v="1734"/>
    <n v="1641"/>
    <n v="93"/>
    <n v="12.6"/>
    <n v="449"/>
    <n v="0.93541666666666667"/>
    <n v="0.81100222717149217"/>
    <n v="0.94636678200692037"/>
    <n v="0.71793750000000001"/>
  </r>
  <r>
    <n v="151"/>
    <x v="12"/>
    <x v="1"/>
    <x v="2"/>
    <n v="480"/>
    <n v="185"/>
    <n v="1257"/>
    <n v="1193"/>
    <n v="64"/>
    <n v="13.2"/>
    <n v="295"/>
    <n v="0.61458333333333337"/>
    <n v="0.93742372881355918"/>
    <n v="0.94908512330946704"/>
    <n v="0.54679166666666668"/>
  </r>
  <r>
    <n v="152"/>
    <x v="12"/>
    <x v="1"/>
    <x v="3"/>
    <n v="480"/>
    <n v="43"/>
    <n v="1853"/>
    <n v="1776"/>
    <n v="77"/>
    <n v="13.8"/>
    <n v="437"/>
    <n v="0.91041666666666665"/>
    <n v="0.97526315789473694"/>
    <n v="0.95844576362655154"/>
    <n v="0.85100000000000009"/>
  </r>
  <r>
    <n v="153"/>
    <x v="12"/>
    <x v="2"/>
    <x v="0"/>
    <n v="480"/>
    <n v="30"/>
    <n v="1742"/>
    <n v="1659"/>
    <n v="83"/>
    <n v="12"/>
    <n v="450"/>
    <n v="0.9375"/>
    <n v="0.77422222222222226"/>
    <n v="0.95235361653272099"/>
    <n v="0.69125000000000003"/>
  </r>
  <r>
    <n v="154"/>
    <x v="12"/>
    <x v="2"/>
    <x v="1"/>
    <n v="480"/>
    <n v="204"/>
    <n v="1193"/>
    <n v="1178"/>
    <n v="15"/>
    <n v="12.6"/>
    <n v="276"/>
    <n v="0.57499999999999996"/>
    <n v="0.90771739130434781"/>
    <n v="0.98742665549036046"/>
    <n v="0.51537499999999992"/>
  </r>
  <r>
    <n v="155"/>
    <x v="12"/>
    <x v="2"/>
    <x v="2"/>
    <n v="480"/>
    <n v="39"/>
    <n v="1662"/>
    <n v="1594"/>
    <n v="68"/>
    <n v="13.2"/>
    <n v="441"/>
    <n v="0.91874999999999996"/>
    <n v="0.82911564625850331"/>
    <n v="0.95908543922984357"/>
    <n v="0.73058333333333325"/>
  </r>
  <r>
    <n v="156"/>
    <x v="12"/>
    <x v="2"/>
    <x v="3"/>
    <n v="480"/>
    <n v="0"/>
    <n v="1983"/>
    <n v="1867"/>
    <n v="116"/>
    <n v="13.8"/>
    <n v="480"/>
    <n v="1"/>
    <n v="0.95018750000000007"/>
    <n v="0.94150277357539081"/>
    <n v="0.89460416666666676"/>
  </r>
  <r>
    <n v="157"/>
    <x v="13"/>
    <x v="0"/>
    <x v="0"/>
    <n v="480"/>
    <n v="22"/>
    <n v="1974"/>
    <n v="1879"/>
    <n v="95"/>
    <n v="12"/>
    <n v="458"/>
    <n v="0.95416666666666672"/>
    <n v="0.86200873362445418"/>
    <n v="0.95187436676798376"/>
    <n v="0.78291666666666671"/>
  </r>
  <r>
    <n v="158"/>
    <x v="13"/>
    <x v="0"/>
    <x v="1"/>
    <n v="480"/>
    <n v="38"/>
    <n v="1963"/>
    <n v="1876"/>
    <n v="87"/>
    <n v="12.6"/>
    <n v="442"/>
    <n v="0.92083333333333328"/>
    <n v="0.93264705882352938"/>
    <n v="0.95568008150789607"/>
    <n v="0.82074999999999998"/>
  </r>
  <r>
    <n v="159"/>
    <x v="13"/>
    <x v="0"/>
    <x v="2"/>
    <n v="480"/>
    <n v="0"/>
    <n v="1677"/>
    <n v="1604"/>
    <n v="73"/>
    <n v="13.2"/>
    <n v="480"/>
    <n v="1"/>
    <n v="0.76862499999999989"/>
    <n v="0.95646988670244482"/>
    <n v="0.73516666666666652"/>
  </r>
  <r>
    <n v="160"/>
    <x v="13"/>
    <x v="0"/>
    <x v="3"/>
    <n v="480"/>
    <n v="9"/>
    <n v="1739"/>
    <n v="1640"/>
    <n v="99"/>
    <n v="13.8"/>
    <n v="471"/>
    <n v="0.98124999999999996"/>
    <n v="0.8491932059447983"/>
    <n v="0.94307073030477284"/>
    <n v="0.78583333333333327"/>
  </r>
  <r>
    <n v="161"/>
    <x v="13"/>
    <x v="1"/>
    <x v="0"/>
    <n v="480"/>
    <n v="230"/>
    <n v="1003"/>
    <n v="983"/>
    <n v="20"/>
    <n v="12"/>
    <n v="250"/>
    <n v="0.52083333333333337"/>
    <n v="0.8024"/>
    <n v="0.98005982053838481"/>
    <n v="0.40958333333333335"/>
  </r>
  <r>
    <n v="162"/>
    <x v="13"/>
    <x v="1"/>
    <x v="1"/>
    <n v="480"/>
    <n v="0"/>
    <n v="2056"/>
    <n v="1998"/>
    <n v="58"/>
    <n v="12.6"/>
    <n v="480"/>
    <n v="1"/>
    <n v="0.89949999999999997"/>
    <n v="0.97178988326848248"/>
    <n v="0.87412499999999993"/>
  </r>
  <r>
    <n v="163"/>
    <x v="13"/>
    <x v="1"/>
    <x v="2"/>
    <n v="480"/>
    <n v="78"/>
    <n v="1425"/>
    <n v="1409"/>
    <n v="16"/>
    <n v="13.2"/>
    <n v="402"/>
    <n v="0.83750000000000002"/>
    <n v="0.77985074626865669"/>
    <n v="0.98877192982456141"/>
    <n v="0.64579166666666665"/>
  </r>
  <r>
    <n v="164"/>
    <x v="13"/>
    <x v="1"/>
    <x v="3"/>
    <n v="480"/>
    <n v="52"/>
    <n v="1423"/>
    <n v="1368"/>
    <n v="55"/>
    <n v="13.8"/>
    <n v="428"/>
    <n v="0.89166666666666672"/>
    <n v="0.76469626168224303"/>
    <n v="0.96134926212227689"/>
    <n v="0.65550000000000008"/>
  </r>
  <r>
    <n v="165"/>
    <x v="13"/>
    <x v="2"/>
    <x v="0"/>
    <n v="480"/>
    <n v="27"/>
    <n v="1704"/>
    <n v="1681"/>
    <n v="23"/>
    <n v="12"/>
    <n v="453"/>
    <n v="0.94374999999999998"/>
    <n v="0.75231788079470197"/>
    <n v="0.98650234741784038"/>
    <n v="0.70041666666666658"/>
  </r>
  <r>
    <n v="166"/>
    <x v="13"/>
    <x v="2"/>
    <x v="1"/>
    <n v="480"/>
    <n v="10"/>
    <n v="2036"/>
    <n v="1929"/>
    <n v="107"/>
    <n v="12.6"/>
    <n v="470"/>
    <n v="0.97916666666666663"/>
    <n v="0.90970212765957437"/>
    <n v="0.94744597249508844"/>
    <n v="0.8439374999999999"/>
  </r>
  <r>
    <n v="167"/>
    <x v="13"/>
    <x v="2"/>
    <x v="2"/>
    <n v="480"/>
    <n v="5"/>
    <n v="1739"/>
    <n v="1636"/>
    <n v="103"/>
    <n v="13.2"/>
    <n v="475"/>
    <n v="0.98958333333333337"/>
    <n v="0.80543157894736839"/>
    <n v="0.94077055779183438"/>
    <n v="0.74983333333333335"/>
  </r>
  <r>
    <n v="168"/>
    <x v="13"/>
    <x v="2"/>
    <x v="3"/>
    <n v="480"/>
    <n v="0"/>
    <n v="1804"/>
    <n v="1731"/>
    <n v="73"/>
    <n v="13.8"/>
    <n v="480"/>
    <n v="1"/>
    <n v="0.86441666666666672"/>
    <n v="0.95953436807095349"/>
    <n v="0.82943750000000005"/>
  </r>
  <r>
    <n v="169"/>
    <x v="14"/>
    <x v="0"/>
    <x v="0"/>
    <n v="480"/>
    <n v="51"/>
    <n v="1625"/>
    <n v="1603"/>
    <n v="22"/>
    <n v="12"/>
    <n v="429"/>
    <n v="0.89375000000000004"/>
    <n v="0.75757575757575757"/>
    <n v="0.9864615384615385"/>
    <n v="0.66791666666666671"/>
  </r>
  <r>
    <n v="170"/>
    <x v="14"/>
    <x v="0"/>
    <x v="1"/>
    <n v="480"/>
    <n v="23"/>
    <n v="2032"/>
    <n v="1992"/>
    <n v="40"/>
    <n v="12.6"/>
    <n v="457"/>
    <n v="0.95208333333333328"/>
    <n v="0.93374179431072213"/>
    <n v="0.98031496062992129"/>
    <n v="0.87150000000000005"/>
  </r>
  <r>
    <n v="171"/>
    <x v="14"/>
    <x v="0"/>
    <x v="2"/>
    <n v="480"/>
    <n v="0"/>
    <n v="1688"/>
    <n v="1618"/>
    <n v="70"/>
    <n v="13.2"/>
    <n v="480"/>
    <n v="1"/>
    <n v="0.77366666666666661"/>
    <n v="0.95853080568720384"/>
    <n v="0.74158333333333326"/>
  </r>
  <r>
    <n v="172"/>
    <x v="14"/>
    <x v="0"/>
    <x v="3"/>
    <n v="480"/>
    <n v="5"/>
    <n v="1806"/>
    <n v="1724"/>
    <n v="82"/>
    <n v="13.8"/>
    <n v="475"/>
    <n v="0.98958333333333337"/>
    <n v="0.87448421052631586"/>
    <n v="0.95459579180509413"/>
    <n v="0.82608333333333339"/>
  </r>
  <r>
    <n v="173"/>
    <x v="14"/>
    <x v="1"/>
    <x v="0"/>
    <n v="480"/>
    <n v="33"/>
    <n v="2007"/>
    <n v="1935"/>
    <n v="72"/>
    <n v="12"/>
    <n v="447"/>
    <n v="0.93125000000000002"/>
    <n v="0.897986577181208"/>
    <n v="0.9641255605381166"/>
    <n v="0.80624999999999991"/>
  </r>
  <r>
    <n v="174"/>
    <x v="14"/>
    <x v="1"/>
    <x v="1"/>
    <n v="480"/>
    <n v="12"/>
    <n v="1753"/>
    <n v="1660"/>
    <n v="93"/>
    <n v="12.6"/>
    <n v="468"/>
    <n v="0.97499999999999998"/>
    <n v="0.78660256410256413"/>
    <n v="0.94694808899030236"/>
    <n v="0.72625000000000006"/>
  </r>
  <r>
    <n v="175"/>
    <x v="14"/>
    <x v="1"/>
    <x v="2"/>
    <n v="480"/>
    <n v="0"/>
    <n v="2126"/>
    <n v="2069"/>
    <n v="57"/>
    <n v="13.2"/>
    <n v="480"/>
    <n v="1"/>
    <n v="0.9744166666666666"/>
    <n v="0.97318908748824084"/>
    <n v="0.94829166666666664"/>
  </r>
  <r>
    <n v="176"/>
    <x v="14"/>
    <x v="1"/>
    <x v="3"/>
    <n v="480"/>
    <n v="0"/>
    <n v="1944"/>
    <n v="1861"/>
    <n v="83"/>
    <n v="13.8"/>
    <n v="480"/>
    <n v="1"/>
    <n v="0.93149999999999999"/>
    <n v="0.95730452674897115"/>
    <n v="0.89172916666666657"/>
  </r>
  <r>
    <n v="177"/>
    <x v="14"/>
    <x v="2"/>
    <x v="0"/>
    <n v="480"/>
    <n v="315"/>
    <n v="656"/>
    <n v="628"/>
    <n v="28"/>
    <n v="12"/>
    <n v="165"/>
    <n v="0.34375"/>
    <n v="0.79515151515151516"/>
    <n v="0.95731707317073167"/>
    <n v="0.26166666666666666"/>
  </r>
  <r>
    <n v="178"/>
    <x v="14"/>
    <x v="2"/>
    <x v="1"/>
    <n v="480"/>
    <n v="0"/>
    <n v="1730"/>
    <n v="1691"/>
    <n v="39"/>
    <n v="12.6"/>
    <n v="480"/>
    <n v="1"/>
    <n v="0.75687499999999996"/>
    <n v="0.97745664739884397"/>
    <n v="0.73981249999999998"/>
  </r>
  <r>
    <n v="179"/>
    <x v="14"/>
    <x v="2"/>
    <x v="2"/>
    <n v="480"/>
    <n v="185"/>
    <n v="1184"/>
    <n v="1147"/>
    <n v="37"/>
    <n v="13.2"/>
    <n v="295"/>
    <n v="0.61458333333333337"/>
    <n v="0.88298305084745754"/>
    <n v="0.96875"/>
    <n v="0.52570833333333333"/>
  </r>
  <r>
    <n v="180"/>
    <x v="14"/>
    <x v="2"/>
    <x v="3"/>
    <n v="480"/>
    <n v="79"/>
    <n v="1594"/>
    <n v="1506"/>
    <n v="88"/>
    <n v="13.8"/>
    <n v="401"/>
    <n v="0.8354166666666667"/>
    <n v="0.91426433915211969"/>
    <n v="0.94479297365119197"/>
    <n v="0.72162499999999996"/>
  </r>
  <r>
    <n v="181"/>
    <x v="15"/>
    <x v="0"/>
    <x v="0"/>
    <n v="480"/>
    <n v="0"/>
    <n v="1931"/>
    <n v="1818"/>
    <n v="113"/>
    <n v="12"/>
    <n v="480"/>
    <n v="1"/>
    <n v="0.80458333333333332"/>
    <n v="0.94148109787674783"/>
    <n v="0.75750000000000006"/>
  </r>
  <r>
    <n v="182"/>
    <x v="15"/>
    <x v="0"/>
    <x v="1"/>
    <n v="480"/>
    <n v="0"/>
    <n v="2163"/>
    <n v="2089"/>
    <n v="74"/>
    <n v="12.6"/>
    <n v="480"/>
    <n v="1"/>
    <n v="0.9463125"/>
    <n v="0.96578825705039295"/>
    <n v="0.91393749999999996"/>
  </r>
  <r>
    <n v="183"/>
    <x v="15"/>
    <x v="0"/>
    <x v="2"/>
    <n v="480"/>
    <n v="14"/>
    <n v="1763"/>
    <n v="1694"/>
    <n v="69"/>
    <n v="13.2"/>
    <n v="466"/>
    <n v="0.97083333333333333"/>
    <n v="0.8323175965665236"/>
    <n v="0.96086216676120251"/>
    <n v="0.77641666666666664"/>
  </r>
  <r>
    <n v="184"/>
    <x v="15"/>
    <x v="0"/>
    <x v="3"/>
    <n v="480"/>
    <n v="0"/>
    <n v="1752"/>
    <n v="1650"/>
    <n v="102"/>
    <n v="13.8"/>
    <n v="480"/>
    <n v="1"/>
    <n v="0.83950000000000002"/>
    <n v="0.94178082191780821"/>
    <n v="0.79062500000000002"/>
  </r>
  <r>
    <n v="185"/>
    <x v="15"/>
    <x v="1"/>
    <x v="0"/>
    <n v="480"/>
    <n v="66"/>
    <n v="1614"/>
    <n v="1520"/>
    <n v="94"/>
    <n v="12"/>
    <n v="414"/>
    <n v="0.86250000000000004"/>
    <n v="0.77971014492753621"/>
    <n v="0.9417596034696406"/>
    <n v="0.6333333333333333"/>
  </r>
  <r>
    <n v="186"/>
    <x v="15"/>
    <x v="1"/>
    <x v="1"/>
    <n v="480"/>
    <n v="8"/>
    <n v="1954"/>
    <n v="1902"/>
    <n v="52"/>
    <n v="12.6"/>
    <n v="472"/>
    <n v="0.98333333333333328"/>
    <n v="0.86936440677966098"/>
    <n v="0.97338792221084958"/>
    <n v="0.832125"/>
  </r>
  <r>
    <n v="187"/>
    <x v="15"/>
    <x v="1"/>
    <x v="2"/>
    <n v="480"/>
    <n v="44"/>
    <n v="1503"/>
    <n v="1433"/>
    <n v="70"/>
    <n v="13.2"/>
    <n v="436"/>
    <n v="0.90833333333333333"/>
    <n v="0.75839449541284398"/>
    <n v="0.95342648037258815"/>
    <n v="0.65679166666666655"/>
  </r>
  <r>
    <n v="188"/>
    <x v="15"/>
    <x v="1"/>
    <x v="3"/>
    <n v="480"/>
    <n v="50"/>
    <n v="1630"/>
    <n v="1538"/>
    <n v="92"/>
    <n v="13.8"/>
    <n v="430"/>
    <n v="0.89583333333333337"/>
    <n v="0.87186046511627902"/>
    <n v="0.94355828220858895"/>
    <n v="0.73695833333333327"/>
  </r>
  <r>
    <n v="189"/>
    <x v="15"/>
    <x v="2"/>
    <x v="0"/>
    <n v="480"/>
    <n v="0"/>
    <n v="1867"/>
    <n v="1807"/>
    <n v="60"/>
    <n v="12"/>
    <n v="480"/>
    <n v="1"/>
    <n v="0.7779166666666667"/>
    <n v="0.96786288162828071"/>
    <n v="0.75291666666666679"/>
  </r>
  <r>
    <n v="190"/>
    <x v="15"/>
    <x v="2"/>
    <x v="1"/>
    <n v="480"/>
    <n v="208"/>
    <n v="972"/>
    <n v="917"/>
    <n v="55"/>
    <n v="12.6"/>
    <n v="272"/>
    <n v="0.56666666666666665"/>
    <n v="0.75044117647058817"/>
    <n v="0.94341563786008231"/>
    <n v="0.40118749999999997"/>
  </r>
  <r>
    <n v="191"/>
    <x v="15"/>
    <x v="2"/>
    <x v="2"/>
    <n v="480"/>
    <n v="80"/>
    <n v="1448"/>
    <n v="1385"/>
    <n v="63"/>
    <n v="13.2"/>
    <n v="400"/>
    <n v="0.83333333333333337"/>
    <n v="0.79639999999999989"/>
    <n v="0.95649171270718236"/>
    <n v="0.63479166666666664"/>
  </r>
  <r>
    <n v="192"/>
    <x v="15"/>
    <x v="2"/>
    <x v="3"/>
    <n v="480"/>
    <n v="17"/>
    <n v="1911"/>
    <n v="1875"/>
    <n v="36"/>
    <n v="13.8"/>
    <n v="463"/>
    <n v="0.96458333333333335"/>
    <n v="0.94930885529157683"/>
    <n v="0.98116169544740972"/>
    <n v="0.89843750000000022"/>
  </r>
  <r>
    <n v="193"/>
    <x v="16"/>
    <x v="0"/>
    <x v="0"/>
    <n v="480"/>
    <n v="142"/>
    <n v="1523"/>
    <n v="1478"/>
    <n v="45"/>
    <n v="12"/>
    <n v="338"/>
    <n v="0.70416666666666672"/>
    <n v="0.90118343195266271"/>
    <n v="0.97045305318450426"/>
    <n v="0.61583333333333334"/>
  </r>
  <r>
    <n v="194"/>
    <x v="16"/>
    <x v="0"/>
    <x v="1"/>
    <n v="480"/>
    <n v="223"/>
    <n v="931"/>
    <n v="877"/>
    <n v="54"/>
    <n v="12.6"/>
    <n v="257"/>
    <n v="0.53541666666666665"/>
    <n v="0.76073929961089493"/>
    <n v="0.9419978517722879"/>
    <n v="0.38368749999999996"/>
  </r>
  <r>
    <n v="195"/>
    <x v="16"/>
    <x v="0"/>
    <x v="2"/>
    <n v="480"/>
    <n v="119"/>
    <n v="1518"/>
    <n v="1443"/>
    <n v="75"/>
    <n v="13.2"/>
    <n v="361"/>
    <n v="0.75208333333333333"/>
    <n v="0.92509695290858718"/>
    <n v="0.95059288537549402"/>
    <n v="0.66137499999999994"/>
  </r>
  <r>
    <n v="196"/>
    <x v="16"/>
    <x v="0"/>
    <x v="3"/>
    <n v="480"/>
    <n v="25"/>
    <n v="1663"/>
    <n v="1589"/>
    <n v="74"/>
    <n v="13.8"/>
    <n v="455"/>
    <n v="0.94791666666666663"/>
    <n v="0.84063736263736266"/>
    <n v="0.95550210463018637"/>
    <n v="0.76139583333333327"/>
  </r>
  <r>
    <n v="197"/>
    <x v="16"/>
    <x v="1"/>
    <x v="0"/>
    <n v="480"/>
    <n v="21"/>
    <n v="1841"/>
    <n v="1816"/>
    <n v="25"/>
    <n v="12"/>
    <n v="459"/>
    <n v="0.95625000000000004"/>
    <n v="0.80217864923747273"/>
    <n v="0.98642042368278104"/>
    <n v="0.7566666666666666"/>
  </r>
  <r>
    <n v="198"/>
    <x v="16"/>
    <x v="1"/>
    <x v="1"/>
    <n v="480"/>
    <n v="70"/>
    <n v="1635"/>
    <n v="1587"/>
    <n v="48"/>
    <n v="12.6"/>
    <n v="410"/>
    <n v="0.85416666666666663"/>
    <n v="0.83743902439024387"/>
    <n v="0.97064220183486238"/>
    <n v="0.69431249999999989"/>
  </r>
  <r>
    <n v="199"/>
    <x v="16"/>
    <x v="1"/>
    <x v="2"/>
    <n v="480"/>
    <n v="118"/>
    <n v="1240"/>
    <n v="1216"/>
    <n v="24"/>
    <n v="13.2"/>
    <n v="362"/>
    <n v="0.75416666666666665"/>
    <n v="0.75359116022099448"/>
    <n v="0.98064516129032253"/>
    <n v="0.55733333333333335"/>
  </r>
  <r>
    <n v="200"/>
    <x v="16"/>
    <x v="1"/>
    <x v="3"/>
    <n v="480"/>
    <n v="0"/>
    <n v="1876"/>
    <n v="1774"/>
    <n v="102"/>
    <n v="13.8"/>
    <n v="480"/>
    <n v="1"/>
    <n v="0.89891666666666681"/>
    <n v="0.94562899786780386"/>
    <n v="0.85004166666666681"/>
  </r>
  <r>
    <n v="201"/>
    <x v="16"/>
    <x v="2"/>
    <x v="0"/>
    <n v="480"/>
    <n v="54"/>
    <n v="1723"/>
    <n v="1682"/>
    <n v="41"/>
    <n v="12"/>
    <n v="426"/>
    <n v="0.88749999999999996"/>
    <n v="0.80892018779342723"/>
    <n v="0.97620429483459081"/>
    <n v="0.70083333333333331"/>
  </r>
  <r>
    <n v="202"/>
    <x v="16"/>
    <x v="2"/>
    <x v="1"/>
    <n v="480"/>
    <n v="51"/>
    <n v="1726"/>
    <n v="1699"/>
    <n v="27"/>
    <n v="12.6"/>
    <n v="429"/>
    <n v="0.89375000000000004"/>
    <n v="0.84489510489510489"/>
    <n v="0.98435689455388176"/>
    <n v="0.74331250000000004"/>
  </r>
  <r>
    <n v="203"/>
    <x v="16"/>
    <x v="2"/>
    <x v="2"/>
    <n v="480"/>
    <n v="0"/>
    <n v="1978"/>
    <n v="1941"/>
    <n v="37"/>
    <n v="13.2"/>
    <n v="480"/>
    <n v="1"/>
    <n v="0.9065833333333333"/>
    <n v="0.98129423660262893"/>
    <n v="0.889625"/>
  </r>
  <r>
    <n v="204"/>
    <x v="16"/>
    <x v="2"/>
    <x v="3"/>
    <n v="480"/>
    <n v="44"/>
    <n v="1773"/>
    <n v="1707"/>
    <n v="66"/>
    <n v="13.8"/>
    <n v="436"/>
    <n v="0.90833333333333333"/>
    <n v="0.93529816513761477"/>
    <n v="0.9627749576988156"/>
    <n v="0.8179375000000001"/>
  </r>
  <r>
    <n v="205"/>
    <x v="17"/>
    <x v="0"/>
    <x v="0"/>
    <n v="480"/>
    <n v="0"/>
    <n v="2149"/>
    <n v="2026"/>
    <n v="123"/>
    <n v="12"/>
    <n v="480"/>
    <n v="1"/>
    <n v="0.89541666666666664"/>
    <n v="0.94276407631456494"/>
    <n v="0.84416666666666662"/>
  </r>
  <r>
    <n v="206"/>
    <x v="17"/>
    <x v="0"/>
    <x v="1"/>
    <n v="480"/>
    <n v="88"/>
    <n v="1501"/>
    <n v="1428"/>
    <n v="73"/>
    <n v="12.6"/>
    <n v="392"/>
    <n v="0.81666666666666665"/>
    <n v="0.8041071428571428"/>
    <n v="0.95136575616255825"/>
    <n v="0.62474999999999992"/>
  </r>
  <r>
    <n v="207"/>
    <x v="17"/>
    <x v="0"/>
    <x v="2"/>
    <n v="480"/>
    <n v="23"/>
    <n v="1838"/>
    <n v="1805"/>
    <n v="33"/>
    <n v="13.2"/>
    <n v="457"/>
    <n v="0.95208333333333328"/>
    <n v="0.88481400437636759"/>
    <n v="0.98204570184983675"/>
    <n v="0.82729166666666654"/>
  </r>
  <r>
    <n v="208"/>
    <x v="17"/>
    <x v="0"/>
    <x v="3"/>
    <n v="480"/>
    <n v="33"/>
    <n v="1701"/>
    <n v="1665"/>
    <n v="36"/>
    <n v="13.8"/>
    <n v="447"/>
    <n v="0.93125000000000002"/>
    <n v="0.87523489932885912"/>
    <n v="0.97883597883597884"/>
    <n v="0.79781250000000004"/>
  </r>
  <r>
    <n v="209"/>
    <x v="17"/>
    <x v="1"/>
    <x v="0"/>
    <n v="480"/>
    <n v="23"/>
    <n v="1938"/>
    <n v="1850"/>
    <n v="88"/>
    <n v="12"/>
    <n v="457"/>
    <n v="0.95208333333333328"/>
    <n v="0.84814004376367613"/>
    <n v="0.95459236326109387"/>
    <n v="0.77083333333333326"/>
  </r>
  <r>
    <n v="210"/>
    <x v="17"/>
    <x v="1"/>
    <x v="1"/>
    <n v="480"/>
    <n v="63"/>
    <n v="1525"/>
    <n v="1504"/>
    <n v="21"/>
    <n v="12.6"/>
    <n v="417"/>
    <n v="0.86875000000000002"/>
    <n v="0.76798561151079137"/>
    <n v="0.98622950819672128"/>
    <n v="0.65800000000000003"/>
  </r>
  <r>
    <n v="211"/>
    <x v="17"/>
    <x v="1"/>
    <x v="2"/>
    <n v="480"/>
    <n v="11"/>
    <n v="1772"/>
    <n v="1749"/>
    <n v="23"/>
    <n v="13.2"/>
    <n v="469"/>
    <n v="0.9770833333333333"/>
    <n v="0.83121535181236661"/>
    <n v="0.98702031602708806"/>
    <n v="0.80162499999999981"/>
  </r>
  <r>
    <n v="212"/>
    <x v="17"/>
    <x v="1"/>
    <x v="3"/>
    <n v="480"/>
    <n v="5"/>
    <n v="1805"/>
    <n v="1708"/>
    <n v="97"/>
    <n v="13.8"/>
    <n v="475"/>
    <n v="0.98958333333333337"/>
    <n v="0.874"/>
    <n v="0.94626038781163435"/>
    <n v="0.81841666666666679"/>
  </r>
  <r>
    <n v="213"/>
    <x v="17"/>
    <x v="2"/>
    <x v="0"/>
    <n v="480"/>
    <n v="114"/>
    <n v="1607"/>
    <n v="1533"/>
    <n v="74"/>
    <n v="12"/>
    <n v="366"/>
    <n v="0.76249999999999996"/>
    <n v="0.87814207650273224"/>
    <n v="0.95395146235220907"/>
    <n v="0.63874999999999993"/>
  </r>
  <r>
    <n v="214"/>
    <x v="17"/>
    <x v="2"/>
    <x v="1"/>
    <n v="480"/>
    <n v="63"/>
    <n v="1569"/>
    <n v="1500"/>
    <n v="69"/>
    <n v="12.6"/>
    <n v="417"/>
    <n v="0.86875000000000002"/>
    <n v="0.7901438848920862"/>
    <n v="0.95602294455066916"/>
    <n v="0.65624999999999989"/>
  </r>
  <r>
    <n v="215"/>
    <x v="17"/>
    <x v="2"/>
    <x v="2"/>
    <n v="480"/>
    <n v="0"/>
    <n v="1905"/>
    <n v="1877"/>
    <n v="28"/>
    <n v="13.2"/>
    <n v="480"/>
    <n v="1"/>
    <n v="0.87312500000000004"/>
    <n v="0.98530183727034115"/>
    <n v="0.86029166666666668"/>
  </r>
  <r>
    <n v="216"/>
    <x v="17"/>
    <x v="2"/>
    <x v="3"/>
    <n v="480"/>
    <n v="53"/>
    <n v="1562"/>
    <n v="1535"/>
    <n v="27"/>
    <n v="13.8"/>
    <n v="427"/>
    <n v="0.88958333333333328"/>
    <n v="0.84135831381733028"/>
    <n v="0.98271446862996159"/>
    <n v="0.73552083333333329"/>
  </r>
  <r>
    <n v="217"/>
    <x v="18"/>
    <x v="0"/>
    <x v="0"/>
    <n v="480"/>
    <n v="37"/>
    <n v="1815"/>
    <n v="1773"/>
    <n v="42"/>
    <n v="12"/>
    <n v="443"/>
    <n v="0.92291666666666672"/>
    <n v="0.81941309255079009"/>
    <n v="0.97685950413223144"/>
    <n v="0.73875000000000013"/>
  </r>
  <r>
    <n v="218"/>
    <x v="18"/>
    <x v="0"/>
    <x v="1"/>
    <n v="480"/>
    <n v="48"/>
    <n v="1687"/>
    <n v="1637"/>
    <n v="50"/>
    <n v="12.6"/>
    <n v="432"/>
    <n v="0.9"/>
    <n v="0.82006944444444452"/>
    <n v="0.97036158861885002"/>
    <n v="0.71618750000000009"/>
  </r>
  <r>
    <n v="219"/>
    <x v="18"/>
    <x v="0"/>
    <x v="2"/>
    <n v="480"/>
    <n v="131"/>
    <n v="1265"/>
    <n v="1194"/>
    <n v="71"/>
    <n v="13.2"/>
    <n v="349"/>
    <n v="0.7270833333333333"/>
    <n v="0.7974212034383954"/>
    <n v="0.94387351778656126"/>
    <n v="0.5472499999999999"/>
  </r>
  <r>
    <n v="220"/>
    <x v="18"/>
    <x v="0"/>
    <x v="3"/>
    <n v="480"/>
    <n v="0"/>
    <n v="1957"/>
    <n v="1901"/>
    <n v="56"/>
    <n v="13.8"/>
    <n v="480"/>
    <n v="1"/>
    <n v="0.93772916666666672"/>
    <n v="0.97138477261113954"/>
    <n v="0.91089583333333346"/>
  </r>
  <r>
    <n v="221"/>
    <x v="18"/>
    <x v="1"/>
    <x v="0"/>
    <n v="480"/>
    <n v="294"/>
    <n v="725"/>
    <n v="687"/>
    <n v="38"/>
    <n v="12"/>
    <n v="186"/>
    <n v="0.38750000000000001"/>
    <n v="0.77956989247311825"/>
    <n v="0.94758620689655171"/>
    <n v="0.28625"/>
  </r>
  <r>
    <n v="222"/>
    <x v="18"/>
    <x v="1"/>
    <x v="1"/>
    <n v="480"/>
    <n v="41"/>
    <n v="1580"/>
    <n v="1554"/>
    <n v="26"/>
    <n v="12.6"/>
    <n v="439"/>
    <n v="0.9145833333333333"/>
    <n v="0.75580865603644642"/>
    <n v="0.98354430379746838"/>
    <n v="0.6798749999999999"/>
  </r>
  <r>
    <n v="223"/>
    <x v="18"/>
    <x v="1"/>
    <x v="2"/>
    <n v="480"/>
    <n v="43"/>
    <n v="1772"/>
    <n v="1697"/>
    <n v="75"/>
    <n v="13.2"/>
    <n v="437"/>
    <n v="0.91041666666666665"/>
    <n v="0.89208237986270011"/>
    <n v="0.95767494356659144"/>
    <n v="0.77779166666666666"/>
  </r>
  <r>
    <n v="224"/>
    <x v="18"/>
    <x v="1"/>
    <x v="3"/>
    <n v="480"/>
    <n v="0"/>
    <n v="1594"/>
    <n v="1516"/>
    <n v="78"/>
    <n v="13.8"/>
    <n v="480"/>
    <n v="1"/>
    <n v="0.76379166666666665"/>
    <n v="0.95106649937264742"/>
    <n v="0.7264166666666666"/>
  </r>
  <r>
    <n v="225"/>
    <x v="18"/>
    <x v="2"/>
    <x v="0"/>
    <n v="480"/>
    <n v="5"/>
    <n v="2160"/>
    <n v="2033"/>
    <n v="127"/>
    <n v="12"/>
    <n v="475"/>
    <n v="0.98958333333333337"/>
    <n v="0.90947368421052632"/>
    <n v="0.94120370370370365"/>
    <n v="0.8470833333333333"/>
  </r>
  <r>
    <n v="226"/>
    <x v="18"/>
    <x v="2"/>
    <x v="1"/>
    <n v="480"/>
    <n v="16"/>
    <n v="1708"/>
    <n v="1632"/>
    <n v="76"/>
    <n v="12.6"/>
    <n v="464"/>
    <n v="0.96666666666666667"/>
    <n v="0.77301724137931027"/>
    <n v="0.95550351288056201"/>
    <n v="0.71399999999999997"/>
  </r>
  <r>
    <n v="227"/>
    <x v="18"/>
    <x v="2"/>
    <x v="2"/>
    <n v="480"/>
    <n v="0"/>
    <n v="1892"/>
    <n v="1779"/>
    <n v="113"/>
    <n v="13.2"/>
    <n v="480"/>
    <n v="1"/>
    <n v="0.86716666666666664"/>
    <n v="0.94027484143763218"/>
    <n v="0.81537499999999996"/>
  </r>
  <r>
    <n v="228"/>
    <x v="18"/>
    <x v="2"/>
    <x v="3"/>
    <n v="480"/>
    <n v="27"/>
    <n v="1878"/>
    <n v="1817"/>
    <n v="61"/>
    <n v="13.8"/>
    <n v="453"/>
    <n v="0.94374999999999998"/>
    <n v="0.95350993377483451"/>
    <n v="0.96751863684771033"/>
    <n v="0.87064583333333345"/>
  </r>
  <r>
    <n v="229"/>
    <x v="19"/>
    <x v="0"/>
    <x v="0"/>
    <n v="480"/>
    <n v="0"/>
    <n v="2003"/>
    <n v="1942"/>
    <n v="61"/>
    <n v="12"/>
    <n v="480"/>
    <n v="1"/>
    <n v="0.83458333333333334"/>
    <n v="0.96954568147778331"/>
    <n v="0.8091666666666667"/>
  </r>
  <r>
    <n v="230"/>
    <x v="19"/>
    <x v="0"/>
    <x v="1"/>
    <n v="480"/>
    <n v="31"/>
    <n v="1866"/>
    <n v="1828"/>
    <n v="38"/>
    <n v="12.6"/>
    <n v="449"/>
    <n v="0.93541666666666667"/>
    <n v="0.87273942093541201"/>
    <n v="0.97963558413719187"/>
    <n v="0.79974999999999996"/>
  </r>
  <r>
    <n v="231"/>
    <x v="19"/>
    <x v="0"/>
    <x v="2"/>
    <n v="480"/>
    <n v="0"/>
    <n v="1757"/>
    <n v="1654"/>
    <n v="103"/>
    <n v="13.2"/>
    <n v="480"/>
    <n v="1"/>
    <n v="0.80529166666666663"/>
    <n v="0.94137734775184978"/>
    <n v="0.75808333333333333"/>
  </r>
  <r>
    <n v="232"/>
    <x v="19"/>
    <x v="0"/>
    <x v="3"/>
    <n v="480"/>
    <n v="22"/>
    <n v="1642"/>
    <n v="1566"/>
    <n v="76"/>
    <n v="13.8"/>
    <n v="458"/>
    <n v="0.95416666666666672"/>
    <n v="0.82458515283842804"/>
    <n v="0.95371498172959801"/>
    <n v="0.75037500000000013"/>
  </r>
  <r>
    <n v="233"/>
    <x v="19"/>
    <x v="1"/>
    <x v="0"/>
    <n v="480"/>
    <n v="12"/>
    <n v="2177"/>
    <n v="2059"/>
    <n v="118"/>
    <n v="12"/>
    <n v="468"/>
    <n v="0.97499999999999998"/>
    <n v="0.93034188034188037"/>
    <n v="0.94579696830500692"/>
    <n v="0.85791666666666666"/>
  </r>
  <r>
    <n v="234"/>
    <x v="19"/>
    <x v="1"/>
    <x v="1"/>
    <n v="480"/>
    <n v="25"/>
    <n v="1942"/>
    <n v="1859"/>
    <n v="83"/>
    <n v="12.6"/>
    <n v="455"/>
    <n v="0.94791666666666663"/>
    <n v="0.89630769230769236"/>
    <n v="0.95726055612770344"/>
    <n v="0.81331249999999999"/>
  </r>
  <r>
    <n v="235"/>
    <x v="19"/>
    <x v="1"/>
    <x v="2"/>
    <n v="480"/>
    <n v="31"/>
    <n v="1570"/>
    <n v="1499"/>
    <n v="71"/>
    <n v="13.2"/>
    <n v="449"/>
    <n v="0.93541666666666667"/>
    <n v="0.76926503340757235"/>
    <n v="0.95477707006369428"/>
    <n v="0.68704166666666666"/>
  </r>
  <r>
    <n v="236"/>
    <x v="19"/>
    <x v="1"/>
    <x v="3"/>
    <n v="480"/>
    <n v="0"/>
    <n v="1599"/>
    <n v="1583"/>
    <n v="16"/>
    <n v="13.8"/>
    <n v="480"/>
    <n v="1"/>
    <n v="0.76618750000000002"/>
    <n v="0.98999374609130708"/>
    <n v="0.75852083333333331"/>
  </r>
  <r>
    <n v="237"/>
    <x v="19"/>
    <x v="2"/>
    <x v="0"/>
    <n v="480"/>
    <n v="78"/>
    <n v="1812"/>
    <n v="1725"/>
    <n v="87"/>
    <n v="12"/>
    <n v="402"/>
    <n v="0.83750000000000002"/>
    <n v="0.90149253731343282"/>
    <n v="0.95198675496688745"/>
    <n v="0.71875"/>
  </r>
  <r>
    <n v="238"/>
    <x v="19"/>
    <x v="2"/>
    <x v="1"/>
    <n v="480"/>
    <n v="154"/>
    <n v="1269"/>
    <n v="1208"/>
    <n v="61"/>
    <n v="12.6"/>
    <n v="326"/>
    <n v="0.6791666666666667"/>
    <n v="0.81745398773006128"/>
    <n v="0.95193065405831367"/>
    <n v="0.52849999999999997"/>
  </r>
  <r>
    <n v="239"/>
    <x v="19"/>
    <x v="2"/>
    <x v="2"/>
    <n v="480"/>
    <n v="57"/>
    <n v="1676"/>
    <n v="1656"/>
    <n v="20"/>
    <n v="13.2"/>
    <n v="423"/>
    <n v="0.88124999999999998"/>
    <n v="0.87167848699763584"/>
    <n v="0.9880668257756563"/>
    <n v="0.7589999999999999"/>
  </r>
  <r>
    <n v="240"/>
    <x v="19"/>
    <x v="2"/>
    <x v="3"/>
    <n v="480"/>
    <n v="81"/>
    <n v="1436"/>
    <n v="1356"/>
    <n v="80"/>
    <n v="13.8"/>
    <n v="399"/>
    <n v="0.83125000000000004"/>
    <n v="0.82776942355889727"/>
    <n v="0.94428969359331472"/>
    <n v="0.64975000000000005"/>
  </r>
  <r>
    <n v="241"/>
    <x v="20"/>
    <x v="0"/>
    <x v="0"/>
    <n v="480"/>
    <n v="11"/>
    <n v="2089"/>
    <n v="1970"/>
    <n v="119"/>
    <n v="12"/>
    <n v="469"/>
    <n v="0.9770833333333333"/>
    <n v="0.89083155650319834"/>
    <n v="0.94303494494973672"/>
    <n v="0.82083333333333341"/>
  </r>
  <r>
    <n v="242"/>
    <x v="20"/>
    <x v="0"/>
    <x v="1"/>
    <n v="480"/>
    <n v="98"/>
    <n v="1634"/>
    <n v="1595"/>
    <n v="39"/>
    <n v="12.6"/>
    <n v="382"/>
    <n v="0.79583333333333328"/>
    <n v="0.89827225130890043"/>
    <n v="0.9761321909424725"/>
    <n v="0.69781249999999995"/>
  </r>
  <r>
    <n v="243"/>
    <x v="20"/>
    <x v="0"/>
    <x v="2"/>
    <n v="480"/>
    <n v="79"/>
    <n v="1779"/>
    <n v="1678"/>
    <n v="101"/>
    <n v="13.2"/>
    <n v="401"/>
    <n v="0.8354166666666667"/>
    <n v="0.9760099750623441"/>
    <n v="0.9432265317594154"/>
    <n v="0.76908333333333334"/>
  </r>
  <r>
    <n v="244"/>
    <x v="20"/>
    <x v="0"/>
    <x v="3"/>
    <n v="480"/>
    <n v="0"/>
    <n v="1644"/>
    <n v="1617"/>
    <n v="27"/>
    <n v="13.8"/>
    <n v="480"/>
    <n v="1"/>
    <n v="0.78775000000000006"/>
    <n v="0.98357664233576647"/>
    <n v="0.77481250000000013"/>
  </r>
  <r>
    <n v="245"/>
    <x v="20"/>
    <x v="1"/>
    <x v="0"/>
    <n v="480"/>
    <n v="59"/>
    <n v="1864"/>
    <n v="1798"/>
    <n v="66"/>
    <n v="12"/>
    <n v="421"/>
    <n v="0.87708333333333333"/>
    <n v="0.88551068883610451"/>
    <n v="0.96459227467811159"/>
    <n v="0.74916666666666665"/>
  </r>
  <r>
    <n v="246"/>
    <x v="20"/>
    <x v="1"/>
    <x v="1"/>
    <n v="480"/>
    <n v="61"/>
    <n v="1788"/>
    <n v="1703"/>
    <n v="85"/>
    <n v="12.6"/>
    <n v="419"/>
    <n v="0.87291666666666667"/>
    <n v="0.89613365155131264"/>
    <n v="0.95246085011185677"/>
    <n v="0.74506249999999996"/>
  </r>
  <r>
    <n v="247"/>
    <x v="20"/>
    <x v="1"/>
    <x v="2"/>
    <n v="480"/>
    <n v="0"/>
    <n v="1867"/>
    <n v="1848"/>
    <n v="19"/>
    <n v="13.2"/>
    <n v="480"/>
    <n v="1"/>
    <n v="0.85570833333333329"/>
    <n v="0.98982324584895554"/>
    <n v="0.84699999999999998"/>
  </r>
  <r>
    <n v="248"/>
    <x v="20"/>
    <x v="1"/>
    <x v="3"/>
    <n v="480"/>
    <n v="6"/>
    <n v="1735"/>
    <n v="1649"/>
    <n v="86"/>
    <n v="13.8"/>
    <n v="474"/>
    <n v="0.98750000000000004"/>
    <n v="0.84187763713080166"/>
    <n v="0.95043227665706054"/>
    <n v="0.79014583333333344"/>
  </r>
  <r>
    <n v="249"/>
    <x v="20"/>
    <x v="2"/>
    <x v="0"/>
    <n v="480"/>
    <n v="0"/>
    <n v="2106"/>
    <n v="2008"/>
    <n v="98"/>
    <n v="12"/>
    <n v="480"/>
    <n v="1"/>
    <n v="0.87749999999999995"/>
    <n v="0.95346628679962009"/>
    <n v="0.83666666666666656"/>
  </r>
  <r>
    <n v="250"/>
    <x v="20"/>
    <x v="2"/>
    <x v="1"/>
    <n v="480"/>
    <n v="30"/>
    <n v="1880"/>
    <n v="1861"/>
    <n v="19"/>
    <n v="12.6"/>
    <n v="450"/>
    <n v="0.9375"/>
    <n v="0.8773333333333333"/>
    <n v="0.98989361702127665"/>
    <n v="0.81418750000000006"/>
  </r>
  <r>
    <n v="251"/>
    <x v="20"/>
    <x v="2"/>
    <x v="2"/>
    <n v="480"/>
    <n v="6"/>
    <n v="2090"/>
    <n v="2031"/>
    <n v="59"/>
    <n v="13.2"/>
    <n v="474"/>
    <n v="0.98750000000000004"/>
    <n v="0.97004219409282699"/>
    <n v="0.97177033492822962"/>
    <n v="0.93087500000000001"/>
  </r>
  <r>
    <n v="252"/>
    <x v="20"/>
    <x v="2"/>
    <x v="3"/>
    <n v="480"/>
    <n v="94"/>
    <n v="1643"/>
    <n v="1597"/>
    <n v="46"/>
    <n v="13.8"/>
    <n v="386"/>
    <n v="0.8041666666666667"/>
    <n v="0.97898963730569954"/>
    <n v="0.97200243457090685"/>
    <n v="0.76522916666666663"/>
  </r>
  <r>
    <n v="253"/>
    <x v="21"/>
    <x v="0"/>
    <x v="0"/>
    <n v="480"/>
    <n v="28"/>
    <n v="2107"/>
    <n v="2077"/>
    <n v="30"/>
    <n v="12"/>
    <n v="452"/>
    <n v="0.94166666666666665"/>
    <n v="0.93230088495575225"/>
    <n v="0.98576174655908877"/>
    <n v="0.86541666666666672"/>
  </r>
  <r>
    <n v="254"/>
    <x v="21"/>
    <x v="0"/>
    <x v="1"/>
    <n v="480"/>
    <n v="55"/>
    <n v="1798"/>
    <n v="1720"/>
    <n v="78"/>
    <n v="12.6"/>
    <n v="425"/>
    <n v="0.88541666666666663"/>
    <n v="0.88842352941176472"/>
    <n v="0.95661846496106784"/>
    <n v="0.75250000000000006"/>
  </r>
  <r>
    <n v="255"/>
    <x v="21"/>
    <x v="0"/>
    <x v="2"/>
    <n v="480"/>
    <n v="10"/>
    <n v="1640"/>
    <n v="1619"/>
    <n v="21"/>
    <n v="13.2"/>
    <n v="470"/>
    <n v="0.97916666666666663"/>
    <n v="0.76765957446808508"/>
    <n v="0.9871951219512195"/>
    <n v="0.7420416666666666"/>
  </r>
  <r>
    <n v="256"/>
    <x v="21"/>
    <x v="0"/>
    <x v="3"/>
    <n v="480"/>
    <n v="15"/>
    <n v="1668"/>
    <n v="1616"/>
    <n v="52"/>
    <n v="13.8"/>
    <n v="465"/>
    <n v="0.96875"/>
    <n v="0.82503225806451619"/>
    <n v="0.9688249400479616"/>
    <n v="0.77433333333333332"/>
  </r>
  <r>
    <n v="257"/>
    <x v="21"/>
    <x v="1"/>
    <x v="0"/>
    <n v="480"/>
    <n v="0"/>
    <n v="1921"/>
    <n v="1845"/>
    <n v="76"/>
    <n v="12"/>
    <n v="480"/>
    <n v="1"/>
    <n v="0.80041666666666667"/>
    <n v="0.9604372722540343"/>
    <n v="0.76874999999999993"/>
  </r>
  <r>
    <n v="258"/>
    <x v="21"/>
    <x v="1"/>
    <x v="1"/>
    <n v="480"/>
    <n v="93"/>
    <n v="1460"/>
    <n v="1419"/>
    <n v="41"/>
    <n v="12.6"/>
    <n v="387"/>
    <n v="0.80625000000000002"/>
    <n v="0.79224806201550391"/>
    <n v="0.97191780821917806"/>
    <n v="0.62081249999999999"/>
  </r>
  <r>
    <n v="259"/>
    <x v="21"/>
    <x v="1"/>
    <x v="2"/>
    <n v="480"/>
    <n v="80"/>
    <n v="1477"/>
    <n v="1424"/>
    <n v="53"/>
    <n v="13.2"/>
    <n v="400"/>
    <n v="0.83333333333333337"/>
    <n v="0.81234999999999991"/>
    <n v="0.96411645226811105"/>
    <n v="0.65266666666666662"/>
  </r>
  <r>
    <n v="260"/>
    <x v="21"/>
    <x v="1"/>
    <x v="3"/>
    <n v="480"/>
    <n v="46"/>
    <n v="1763"/>
    <n v="1705"/>
    <n v="58"/>
    <n v="13.8"/>
    <n v="434"/>
    <n v="0.90416666666666667"/>
    <n v="0.93430875576036876"/>
    <n v="0.9671015314804311"/>
    <n v="0.81697916666666681"/>
  </r>
  <r>
    <n v="261"/>
    <x v="21"/>
    <x v="2"/>
    <x v="0"/>
    <n v="480"/>
    <n v="58"/>
    <n v="1823"/>
    <n v="1765"/>
    <n v="58"/>
    <n v="12"/>
    <n v="422"/>
    <n v="0.87916666666666665"/>
    <n v="0.86398104265402842"/>
    <n v="0.96818431157432805"/>
    <n v="0.73541666666666661"/>
  </r>
  <r>
    <n v="262"/>
    <x v="21"/>
    <x v="2"/>
    <x v="1"/>
    <n v="480"/>
    <n v="21"/>
    <n v="2120"/>
    <n v="2092"/>
    <n v="28"/>
    <n v="12.6"/>
    <n v="459"/>
    <n v="0.95625000000000004"/>
    <n v="0.96993464052287581"/>
    <n v="0.98679245283018868"/>
    <n v="0.91525000000000001"/>
  </r>
  <r>
    <n v="263"/>
    <x v="21"/>
    <x v="2"/>
    <x v="2"/>
    <n v="480"/>
    <n v="0"/>
    <n v="1777"/>
    <n v="1736"/>
    <n v="41"/>
    <n v="13.2"/>
    <n v="480"/>
    <n v="1"/>
    <n v="0.81445833333333328"/>
    <n v="0.97692740574001125"/>
    <n v="0.79566666666666663"/>
  </r>
  <r>
    <n v="264"/>
    <x v="21"/>
    <x v="2"/>
    <x v="3"/>
    <n v="480"/>
    <n v="93"/>
    <n v="1287"/>
    <n v="1243"/>
    <n v="44"/>
    <n v="13.8"/>
    <n v="387"/>
    <n v="0.80625000000000002"/>
    <n v="0.7648837209302326"/>
    <n v="0.96581196581196582"/>
    <n v="0.59560416666666671"/>
  </r>
  <r>
    <n v="265"/>
    <x v="22"/>
    <x v="0"/>
    <x v="0"/>
    <n v="480"/>
    <n v="0"/>
    <n v="1834"/>
    <n v="1733"/>
    <n v="101"/>
    <n v="12"/>
    <n v="480"/>
    <n v="1"/>
    <n v="0.76416666666666666"/>
    <n v="0.94492911668484192"/>
    <n v="0.72208333333333341"/>
  </r>
  <r>
    <n v="266"/>
    <x v="22"/>
    <x v="0"/>
    <x v="1"/>
    <n v="480"/>
    <n v="0"/>
    <n v="1994"/>
    <n v="1934"/>
    <n v="60"/>
    <n v="12.6"/>
    <n v="480"/>
    <n v="1"/>
    <n v="0.8723749999999999"/>
    <n v="0.96990972918756269"/>
    <n v="0.8461249999999999"/>
  </r>
  <r>
    <n v="267"/>
    <x v="22"/>
    <x v="0"/>
    <x v="2"/>
    <n v="480"/>
    <n v="154"/>
    <n v="1129"/>
    <n v="1095"/>
    <n v="34"/>
    <n v="13.2"/>
    <n v="326"/>
    <n v="0.6791666666666667"/>
    <n v="0.76190184049079746"/>
    <n v="0.96988485385296719"/>
    <n v="0.50187499999999985"/>
  </r>
  <r>
    <n v="268"/>
    <x v="22"/>
    <x v="0"/>
    <x v="3"/>
    <n v="480"/>
    <n v="17"/>
    <n v="1812"/>
    <n v="1776"/>
    <n v="36"/>
    <n v="13.8"/>
    <n v="463"/>
    <n v="0.96458333333333335"/>
    <n v="0.90012958963282941"/>
    <n v="0.98013245033112584"/>
    <n v="0.85100000000000009"/>
  </r>
  <r>
    <n v="269"/>
    <x v="22"/>
    <x v="1"/>
    <x v="0"/>
    <n v="480"/>
    <n v="101"/>
    <n v="1665"/>
    <n v="1605"/>
    <n v="60"/>
    <n v="12"/>
    <n v="379"/>
    <n v="0.7895833333333333"/>
    <n v="0.87862796833773082"/>
    <n v="0.963963963963964"/>
    <n v="0.66874999999999996"/>
  </r>
  <r>
    <n v="270"/>
    <x v="22"/>
    <x v="1"/>
    <x v="1"/>
    <n v="480"/>
    <n v="0"/>
    <n v="2166"/>
    <n v="2067"/>
    <n v="99"/>
    <n v="12.6"/>
    <n v="480"/>
    <n v="1"/>
    <n v="0.94762499999999994"/>
    <n v="0.95429362880886426"/>
    <n v="0.90431249999999996"/>
  </r>
  <r>
    <n v="271"/>
    <x v="22"/>
    <x v="1"/>
    <x v="2"/>
    <n v="480"/>
    <n v="0"/>
    <n v="1991"/>
    <n v="1917"/>
    <n v="74"/>
    <n v="13.2"/>
    <n v="480"/>
    <n v="1"/>
    <n v="0.91254166666666658"/>
    <n v="0.96283274736313407"/>
    <n v="0.87862499999999988"/>
  </r>
  <r>
    <n v="272"/>
    <x v="22"/>
    <x v="1"/>
    <x v="3"/>
    <n v="480"/>
    <n v="0"/>
    <n v="1785"/>
    <n v="1724"/>
    <n v="61"/>
    <n v="13.8"/>
    <n v="480"/>
    <n v="1"/>
    <n v="0.85531250000000003"/>
    <n v="0.9658263305322129"/>
    <n v="0.82608333333333339"/>
  </r>
  <r>
    <n v="273"/>
    <x v="22"/>
    <x v="2"/>
    <x v="0"/>
    <n v="480"/>
    <n v="0"/>
    <n v="2322"/>
    <n v="2201"/>
    <n v="121"/>
    <n v="12"/>
    <n v="480"/>
    <n v="1"/>
    <n v="0.96750000000000003"/>
    <n v="0.94788975021533162"/>
    <n v="0.91708333333333336"/>
  </r>
  <r>
    <n v="274"/>
    <x v="22"/>
    <x v="2"/>
    <x v="1"/>
    <n v="480"/>
    <n v="55"/>
    <n v="1893"/>
    <n v="1831"/>
    <n v="62"/>
    <n v="12.6"/>
    <n v="425"/>
    <n v="0.88541666666666663"/>
    <n v="0.93536470588235288"/>
    <n v="0.96724775488642367"/>
    <n v="0.8010624999999999"/>
  </r>
  <r>
    <n v="275"/>
    <x v="22"/>
    <x v="2"/>
    <x v="2"/>
    <n v="480"/>
    <n v="0"/>
    <n v="2030"/>
    <n v="1990"/>
    <n v="40"/>
    <n v="13.2"/>
    <n v="480"/>
    <n v="1"/>
    <n v="0.93041666666666667"/>
    <n v="0.98029556650246308"/>
    <n v="0.91208333333333336"/>
  </r>
  <r>
    <n v="276"/>
    <x v="22"/>
    <x v="2"/>
    <x v="3"/>
    <n v="480"/>
    <n v="63"/>
    <n v="1576"/>
    <n v="1545"/>
    <n v="31"/>
    <n v="13.8"/>
    <n v="417"/>
    <n v="0.86875000000000002"/>
    <n v="0.86925659472422079"/>
    <n v="0.98032994923857864"/>
    <n v="0.74031250000000015"/>
  </r>
  <r>
    <n v="277"/>
    <x v="23"/>
    <x v="0"/>
    <x v="0"/>
    <n v="480"/>
    <n v="116"/>
    <n v="1745"/>
    <n v="1681"/>
    <n v="64"/>
    <n v="12"/>
    <n v="364"/>
    <n v="0.7583333333333333"/>
    <n v="0.95879120879120883"/>
    <n v="0.96332378223495707"/>
    <n v="0.70041666666666669"/>
  </r>
  <r>
    <n v="278"/>
    <x v="23"/>
    <x v="0"/>
    <x v="1"/>
    <n v="480"/>
    <n v="51"/>
    <n v="1710"/>
    <n v="1627"/>
    <n v="83"/>
    <n v="12.6"/>
    <n v="429"/>
    <n v="0.89375000000000004"/>
    <n v="0.83706293706293711"/>
    <n v="0.95146198830409356"/>
    <n v="0.71181250000000007"/>
  </r>
  <r>
    <n v="279"/>
    <x v="23"/>
    <x v="0"/>
    <x v="2"/>
    <n v="480"/>
    <n v="6"/>
    <n v="2008"/>
    <n v="1930"/>
    <n v="78"/>
    <n v="13.2"/>
    <n v="474"/>
    <n v="0.98750000000000004"/>
    <n v="0.93198312236286918"/>
    <n v="0.96115537848605581"/>
    <n v="0.88458333333333339"/>
  </r>
  <r>
    <n v="280"/>
    <x v="23"/>
    <x v="0"/>
    <x v="3"/>
    <n v="480"/>
    <n v="72"/>
    <n v="1654"/>
    <n v="1612"/>
    <n v="42"/>
    <n v="13.8"/>
    <n v="408"/>
    <n v="0.85"/>
    <n v="0.93240196078431381"/>
    <n v="0.97460701330108823"/>
    <n v="0.77241666666666664"/>
  </r>
  <r>
    <n v="281"/>
    <x v="23"/>
    <x v="1"/>
    <x v="0"/>
    <n v="480"/>
    <n v="18"/>
    <n v="2207"/>
    <n v="2113"/>
    <n v="94"/>
    <n v="12"/>
    <n v="462"/>
    <n v="0.96250000000000002"/>
    <n v="0.95541125541125538"/>
    <n v="0.9574082464884458"/>
    <n v="0.88041666666666663"/>
  </r>
  <r>
    <n v="282"/>
    <x v="23"/>
    <x v="1"/>
    <x v="1"/>
    <n v="480"/>
    <n v="0"/>
    <n v="1945"/>
    <n v="1866"/>
    <n v="79"/>
    <n v="12.6"/>
    <n v="480"/>
    <n v="1"/>
    <n v="0.85093750000000001"/>
    <n v="0.95938303341902309"/>
    <n v="0.81637499999999996"/>
  </r>
  <r>
    <n v="283"/>
    <x v="23"/>
    <x v="1"/>
    <x v="2"/>
    <n v="480"/>
    <n v="0"/>
    <n v="2079"/>
    <n v="1975"/>
    <n v="104"/>
    <n v="13.2"/>
    <n v="480"/>
    <n v="1"/>
    <n v="0.95287500000000003"/>
    <n v="0.94997594997595003"/>
    <n v="0.90520833333333339"/>
  </r>
  <r>
    <n v="284"/>
    <x v="23"/>
    <x v="1"/>
    <x v="3"/>
    <n v="480"/>
    <n v="71"/>
    <n v="1694"/>
    <n v="1641"/>
    <n v="53"/>
    <n v="13.8"/>
    <n v="409"/>
    <n v="0.8520833333333333"/>
    <n v="0.95261613691931546"/>
    <n v="0.96871310507674147"/>
    <n v="0.78631250000000008"/>
  </r>
  <r>
    <n v="285"/>
    <x v="23"/>
    <x v="2"/>
    <x v="0"/>
    <n v="480"/>
    <n v="0"/>
    <n v="1806"/>
    <n v="1738"/>
    <n v="68"/>
    <n v="12"/>
    <n v="480"/>
    <n v="1"/>
    <n v="0.75249999999999995"/>
    <n v="0.96234772978959027"/>
    <n v="0.72416666666666663"/>
  </r>
  <r>
    <n v="286"/>
    <x v="23"/>
    <x v="2"/>
    <x v="1"/>
    <n v="480"/>
    <n v="72"/>
    <n v="1597"/>
    <n v="1544"/>
    <n v="53"/>
    <n v="12.6"/>
    <n v="408"/>
    <n v="0.85"/>
    <n v="0.82198529411764709"/>
    <n v="0.96681277395115839"/>
    <n v="0.67549999999999999"/>
  </r>
  <r>
    <n v="287"/>
    <x v="23"/>
    <x v="2"/>
    <x v="2"/>
    <n v="480"/>
    <n v="43"/>
    <n v="1815"/>
    <n v="1722"/>
    <n v="93"/>
    <n v="13.2"/>
    <n v="437"/>
    <n v="0.91041666666666665"/>
    <n v="0.91372997711670478"/>
    <n v="0.94876033057851239"/>
    <n v="0.7892499999999999"/>
  </r>
  <r>
    <n v="288"/>
    <x v="23"/>
    <x v="2"/>
    <x v="3"/>
    <n v="480"/>
    <n v="0"/>
    <n v="1680"/>
    <n v="1652"/>
    <n v="28"/>
    <n v="13.8"/>
    <n v="480"/>
    <n v="1"/>
    <n v="0.80500000000000005"/>
    <n v="0.98333333333333328"/>
    <n v="0.79158333333333331"/>
  </r>
  <r>
    <n v="289"/>
    <x v="24"/>
    <x v="0"/>
    <x v="0"/>
    <n v="480"/>
    <n v="31"/>
    <n v="2004"/>
    <n v="1949"/>
    <n v="55"/>
    <n v="12"/>
    <n v="449"/>
    <n v="0.93541666666666667"/>
    <n v="0.89265033407572381"/>
    <n v="0.97255489021956087"/>
    <n v="0.81208333333333327"/>
  </r>
  <r>
    <n v="290"/>
    <x v="24"/>
    <x v="0"/>
    <x v="1"/>
    <n v="480"/>
    <n v="184"/>
    <n v="1147"/>
    <n v="1099"/>
    <n v="48"/>
    <n v="12.6"/>
    <n v="296"/>
    <n v="0.6166666666666667"/>
    <n v="0.81374999999999997"/>
    <n v="0.95815170008718398"/>
    <n v="0.48081250000000003"/>
  </r>
  <r>
    <n v="291"/>
    <x v="24"/>
    <x v="0"/>
    <x v="2"/>
    <n v="480"/>
    <n v="52"/>
    <n v="1878"/>
    <n v="1778"/>
    <n v="100"/>
    <n v="13.2"/>
    <n v="428"/>
    <n v="0.89166666666666672"/>
    <n v="0.96532710280373824"/>
    <n v="0.94675186368477104"/>
    <n v="0.81491666666666673"/>
  </r>
  <r>
    <n v="292"/>
    <x v="24"/>
    <x v="0"/>
    <x v="3"/>
    <n v="480"/>
    <n v="44"/>
    <n v="1798"/>
    <n v="1731"/>
    <n v="67"/>
    <n v="13.8"/>
    <n v="436"/>
    <n v="0.90833333333333333"/>
    <n v="0.94848623853211012"/>
    <n v="0.96273637374860954"/>
    <n v="0.82943749999999994"/>
  </r>
  <r>
    <n v="293"/>
    <x v="24"/>
    <x v="1"/>
    <x v="0"/>
    <n v="480"/>
    <n v="80"/>
    <n v="1628"/>
    <n v="1542"/>
    <n v="86"/>
    <n v="12"/>
    <n v="400"/>
    <n v="0.83333333333333337"/>
    <n v="0.81399999999999995"/>
    <n v="0.94717444717444721"/>
    <n v="0.64250000000000007"/>
  </r>
  <r>
    <n v="294"/>
    <x v="24"/>
    <x v="1"/>
    <x v="1"/>
    <n v="480"/>
    <n v="82"/>
    <n v="1554"/>
    <n v="1475"/>
    <n v="79"/>
    <n v="12.6"/>
    <n v="398"/>
    <n v="0.82916666666666672"/>
    <n v="0.81994974874371851"/>
    <n v="0.94916344916344919"/>
    <n v="0.64531250000000007"/>
  </r>
  <r>
    <n v="295"/>
    <x v="24"/>
    <x v="1"/>
    <x v="2"/>
    <n v="480"/>
    <n v="35"/>
    <n v="1522"/>
    <n v="1472"/>
    <n v="50"/>
    <n v="13.2"/>
    <n v="445"/>
    <n v="0.92708333333333337"/>
    <n v="0.75244943820224708"/>
    <n v="0.96714848883048621"/>
    <n v="0.67466666666666653"/>
  </r>
  <r>
    <n v="296"/>
    <x v="24"/>
    <x v="1"/>
    <x v="3"/>
    <n v="480"/>
    <n v="16"/>
    <n v="1857"/>
    <n v="1834"/>
    <n v="23"/>
    <n v="13.8"/>
    <n v="464"/>
    <n v="0.96666666666666667"/>
    <n v="0.92049568965517248"/>
    <n v="0.98761443187937537"/>
    <n v="0.87879166666666686"/>
  </r>
  <r>
    <n v="297"/>
    <x v="24"/>
    <x v="2"/>
    <x v="0"/>
    <n v="480"/>
    <n v="222"/>
    <n v="1145"/>
    <n v="1127"/>
    <n v="18"/>
    <n v="12"/>
    <n v="258"/>
    <n v="0.53749999999999998"/>
    <n v="0.88759689922480622"/>
    <n v="0.98427947598253274"/>
    <n v="0.4695833333333333"/>
  </r>
  <r>
    <n v="298"/>
    <x v="24"/>
    <x v="2"/>
    <x v="1"/>
    <n v="480"/>
    <n v="0"/>
    <n v="2192"/>
    <n v="2097"/>
    <n v="95"/>
    <n v="12.6"/>
    <n v="480"/>
    <n v="1"/>
    <n v="0.95900000000000007"/>
    <n v="0.9566605839416058"/>
    <n v="0.91743750000000002"/>
  </r>
  <r>
    <n v="299"/>
    <x v="24"/>
    <x v="2"/>
    <x v="2"/>
    <n v="480"/>
    <n v="102"/>
    <n v="1463"/>
    <n v="1404"/>
    <n v="59"/>
    <n v="13.2"/>
    <n v="378"/>
    <n v="0.78749999999999998"/>
    <n v="0.85148148148148139"/>
    <n v="0.95967190704032812"/>
    <n v="0.64349999999999996"/>
  </r>
  <r>
    <n v="300"/>
    <x v="24"/>
    <x v="2"/>
    <x v="3"/>
    <n v="480"/>
    <n v="108"/>
    <n v="1436"/>
    <n v="1369"/>
    <n v="67"/>
    <n v="13.8"/>
    <n v="372"/>
    <n v="0.77500000000000002"/>
    <n v="0.88784946236559137"/>
    <n v="0.95334261838440115"/>
    <n v="0.65597916666666678"/>
  </r>
  <r>
    <n v="301"/>
    <x v="25"/>
    <x v="0"/>
    <x v="0"/>
    <n v="480"/>
    <n v="25"/>
    <n v="1779"/>
    <n v="1737"/>
    <n v="42"/>
    <n v="12"/>
    <n v="455"/>
    <n v="0.94791666666666663"/>
    <n v="0.78197802197802202"/>
    <n v="0.97639123102866776"/>
    <n v="0.72374999999999989"/>
  </r>
  <r>
    <n v="302"/>
    <x v="25"/>
    <x v="0"/>
    <x v="1"/>
    <n v="480"/>
    <n v="52"/>
    <n v="1770"/>
    <n v="1752"/>
    <n v="18"/>
    <n v="12.6"/>
    <n v="428"/>
    <n v="0.89166666666666672"/>
    <n v="0.86845794392523368"/>
    <n v="0.98983050847457632"/>
    <n v="0.76650000000000007"/>
  </r>
  <r>
    <n v="303"/>
    <x v="25"/>
    <x v="0"/>
    <x v="2"/>
    <n v="480"/>
    <n v="0"/>
    <n v="1746"/>
    <n v="1726"/>
    <n v="20"/>
    <n v="13.2"/>
    <n v="480"/>
    <n v="1"/>
    <n v="0.80024999999999991"/>
    <n v="0.98854524627720508"/>
    <n v="0.79108333333333325"/>
  </r>
  <r>
    <n v="304"/>
    <x v="25"/>
    <x v="0"/>
    <x v="3"/>
    <n v="480"/>
    <n v="0"/>
    <n v="1727"/>
    <n v="1641"/>
    <n v="86"/>
    <n v="13.8"/>
    <n v="480"/>
    <n v="1"/>
    <n v="0.82752083333333337"/>
    <n v="0.95020266357845973"/>
    <n v="0.78631249999999997"/>
  </r>
  <r>
    <n v="305"/>
    <x v="25"/>
    <x v="1"/>
    <x v="0"/>
    <n v="480"/>
    <n v="73"/>
    <n v="1579"/>
    <n v="1536"/>
    <n v="43"/>
    <n v="12"/>
    <n v="407"/>
    <n v="0.84791666666666665"/>
    <n v="0.77592137592137589"/>
    <n v="0.97276757441418615"/>
    <n v="0.6399999999999999"/>
  </r>
  <r>
    <n v="306"/>
    <x v="25"/>
    <x v="1"/>
    <x v="1"/>
    <n v="480"/>
    <n v="162"/>
    <n v="1273"/>
    <n v="1234"/>
    <n v="39"/>
    <n v="12.6"/>
    <n v="318"/>
    <n v="0.66249999999999998"/>
    <n v="0.84066037735849053"/>
    <n v="0.96936370777690495"/>
    <n v="0.53987499999999999"/>
  </r>
  <r>
    <n v="307"/>
    <x v="25"/>
    <x v="1"/>
    <x v="2"/>
    <n v="480"/>
    <n v="226"/>
    <n v="879"/>
    <n v="859"/>
    <n v="20"/>
    <n v="13.2"/>
    <n v="254"/>
    <n v="0.52916666666666667"/>
    <n v="0.76133858267716525"/>
    <n v="0.97724687144482369"/>
    <n v="0.39370833333333327"/>
  </r>
  <r>
    <n v="308"/>
    <x v="25"/>
    <x v="1"/>
    <x v="3"/>
    <n v="480"/>
    <n v="0"/>
    <n v="1855"/>
    <n v="1773"/>
    <n v="82"/>
    <n v="13.8"/>
    <n v="480"/>
    <n v="1"/>
    <n v="0.88885416666666661"/>
    <n v="0.9557951482479784"/>
    <n v="0.84956249999999989"/>
  </r>
  <r>
    <n v="309"/>
    <x v="25"/>
    <x v="2"/>
    <x v="0"/>
    <n v="480"/>
    <n v="0"/>
    <n v="2011"/>
    <n v="1946"/>
    <n v="65"/>
    <n v="12"/>
    <n v="480"/>
    <n v="1"/>
    <n v="0.83791666666666664"/>
    <n v="0.96767777225261065"/>
    <n v="0.81083333333333329"/>
  </r>
  <r>
    <n v="310"/>
    <x v="25"/>
    <x v="2"/>
    <x v="1"/>
    <n v="480"/>
    <n v="27"/>
    <n v="1653"/>
    <n v="1630"/>
    <n v="23"/>
    <n v="12.6"/>
    <n v="453"/>
    <n v="0.94374999999999998"/>
    <n v="0.76629139072847674"/>
    <n v="0.98608590441621291"/>
    <n v="0.7131249999999999"/>
  </r>
  <r>
    <n v="311"/>
    <x v="25"/>
    <x v="2"/>
    <x v="2"/>
    <n v="480"/>
    <n v="86"/>
    <n v="1703"/>
    <n v="1625"/>
    <n v="78"/>
    <n v="13.2"/>
    <n v="394"/>
    <n v="0.8208333333333333"/>
    <n v="0.95091370558375632"/>
    <n v="0.95419847328244278"/>
    <n v="0.74479166666666663"/>
  </r>
  <r>
    <n v="312"/>
    <x v="25"/>
    <x v="2"/>
    <x v="3"/>
    <n v="480"/>
    <n v="0"/>
    <n v="1998"/>
    <n v="1972"/>
    <n v="26"/>
    <n v="13.8"/>
    <n v="480"/>
    <n v="1"/>
    <n v="0.95737500000000009"/>
    <n v="0.98698698698698695"/>
    <n v="0.94491666666666674"/>
  </r>
  <r>
    <n v="313"/>
    <x v="26"/>
    <x v="0"/>
    <x v="0"/>
    <n v="480"/>
    <n v="24"/>
    <n v="1864"/>
    <n v="1801"/>
    <n v="63"/>
    <n v="12"/>
    <n v="456"/>
    <n v="0.95"/>
    <n v="0.81754385964912279"/>
    <n v="0.96620171673819744"/>
    <n v="0.75041666666666662"/>
  </r>
  <r>
    <n v="314"/>
    <x v="26"/>
    <x v="0"/>
    <x v="1"/>
    <n v="480"/>
    <n v="36"/>
    <n v="1752"/>
    <n v="1671"/>
    <n v="81"/>
    <n v="12.6"/>
    <n v="444"/>
    <n v="0.92500000000000004"/>
    <n v="0.82864864864864862"/>
    <n v="0.95376712328767121"/>
    <n v="0.73106249999999995"/>
  </r>
  <r>
    <n v="315"/>
    <x v="26"/>
    <x v="0"/>
    <x v="2"/>
    <n v="480"/>
    <n v="111"/>
    <n v="1575"/>
    <n v="1492"/>
    <n v="83"/>
    <n v="13.2"/>
    <n v="369"/>
    <n v="0.76875000000000004"/>
    <n v="0.93902439024390238"/>
    <n v="0.94730158730158731"/>
    <n v="0.6838333333333334"/>
  </r>
  <r>
    <n v="316"/>
    <x v="26"/>
    <x v="0"/>
    <x v="3"/>
    <n v="480"/>
    <n v="45"/>
    <n v="1717"/>
    <n v="1668"/>
    <n v="49"/>
    <n v="13.8"/>
    <n v="435"/>
    <n v="0.90625"/>
    <n v="0.90783908045977024"/>
    <n v="0.97146185206755975"/>
    <n v="0.79925000000000013"/>
  </r>
  <r>
    <n v="317"/>
    <x v="26"/>
    <x v="1"/>
    <x v="0"/>
    <n v="480"/>
    <n v="0"/>
    <n v="2037"/>
    <n v="2003"/>
    <n v="34"/>
    <n v="12"/>
    <n v="480"/>
    <n v="1"/>
    <n v="0.84875"/>
    <n v="0.98330878743249872"/>
    <n v="0.83458333333333334"/>
  </r>
  <r>
    <n v="318"/>
    <x v="26"/>
    <x v="1"/>
    <x v="1"/>
    <n v="480"/>
    <n v="58"/>
    <n v="1540"/>
    <n v="1494"/>
    <n v="46"/>
    <n v="12.6"/>
    <n v="422"/>
    <n v="0.87916666666666665"/>
    <n v="0.76635071090047391"/>
    <n v="0.97012987012987018"/>
    <n v="0.65362500000000001"/>
  </r>
  <r>
    <n v="319"/>
    <x v="26"/>
    <x v="1"/>
    <x v="2"/>
    <n v="480"/>
    <n v="13"/>
    <n v="1698"/>
    <n v="1598"/>
    <n v="100"/>
    <n v="13.2"/>
    <n v="467"/>
    <n v="0.97291666666666665"/>
    <n v="0.7999143468950749"/>
    <n v="0.94110718492343937"/>
    <n v="0.73241666666666672"/>
  </r>
  <r>
    <n v="320"/>
    <x v="26"/>
    <x v="1"/>
    <x v="3"/>
    <n v="480"/>
    <n v="71"/>
    <n v="1490"/>
    <n v="1473"/>
    <n v="17"/>
    <n v="13.8"/>
    <n v="409"/>
    <n v="0.8520833333333333"/>
    <n v="0.8378973105134474"/>
    <n v="0.98859060402684562"/>
    <n v="0.70581249999999995"/>
  </r>
  <r>
    <n v="321"/>
    <x v="26"/>
    <x v="2"/>
    <x v="0"/>
    <n v="480"/>
    <n v="0"/>
    <n v="2014"/>
    <n v="1978"/>
    <n v="36"/>
    <n v="12"/>
    <n v="480"/>
    <n v="1"/>
    <n v="0.83916666666666662"/>
    <n v="0.98212512413108244"/>
    <n v="0.8241666666666666"/>
  </r>
  <r>
    <n v="322"/>
    <x v="26"/>
    <x v="2"/>
    <x v="1"/>
    <n v="480"/>
    <n v="0"/>
    <n v="2111"/>
    <n v="2042"/>
    <n v="69"/>
    <n v="12.6"/>
    <n v="480"/>
    <n v="1"/>
    <n v="0.92356249999999995"/>
    <n v="0.96731406916153484"/>
    <n v="0.89337500000000003"/>
  </r>
  <r>
    <n v="323"/>
    <x v="26"/>
    <x v="2"/>
    <x v="2"/>
    <n v="480"/>
    <n v="45"/>
    <n v="1858"/>
    <n v="1749"/>
    <n v="109"/>
    <n v="13.2"/>
    <n v="435"/>
    <n v="0.90625"/>
    <n v="0.93967816091954015"/>
    <n v="0.94133476856835308"/>
    <n v="0.80162499999999992"/>
  </r>
  <r>
    <n v="324"/>
    <x v="26"/>
    <x v="2"/>
    <x v="3"/>
    <n v="480"/>
    <n v="13"/>
    <n v="1781"/>
    <n v="1715"/>
    <n v="66"/>
    <n v="13.8"/>
    <n v="467"/>
    <n v="0.97291666666666665"/>
    <n v="0.87715203426124211"/>
    <n v="0.96294216732172933"/>
    <n v="0.82177083333333345"/>
  </r>
  <r>
    <n v="325"/>
    <x v="27"/>
    <x v="0"/>
    <x v="0"/>
    <n v="480"/>
    <n v="179"/>
    <n v="1321"/>
    <n v="1285"/>
    <n v="36"/>
    <n v="12"/>
    <n v="301"/>
    <n v="0.62708333333333333"/>
    <n v="0.87774086378737537"/>
    <n v="0.97274791824375473"/>
    <n v="0.53541666666666665"/>
  </r>
  <r>
    <n v="326"/>
    <x v="27"/>
    <x v="0"/>
    <x v="1"/>
    <n v="480"/>
    <n v="19"/>
    <n v="1893"/>
    <n v="1837"/>
    <n v="56"/>
    <n v="12.6"/>
    <n v="461"/>
    <n v="0.9604166666666667"/>
    <n v="0.86232104121475051"/>
    <n v="0.97041732699418914"/>
    <n v="0.8036875"/>
  </r>
  <r>
    <n v="327"/>
    <x v="27"/>
    <x v="0"/>
    <x v="2"/>
    <n v="480"/>
    <n v="200"/>
    <n v="1165"/>
    <n v="1123"/>
    <n v="42"/>
    <n v="13.2"/>
    <n v="280"/>
    <n v="0.58333333333333337"/>
    <n v="0.91535714285714287"/>
    <n v="0.96394849785407721"/>
    <n v="0.51470833333333343"/>
  </r>
  <r>
    <n v="328"/>
    <x v="27"/>
    <x v="0"/>
    <x v="3"/>
    <n v="480"/>
    <n v="5"/>
    <n v="1926"/>
    <n v="1881"/>
    <n v="45"/>
    <n v="13.8"/>
    <n v="475"/>
    <n v="0.98958333333333337"/>
    <n v="0.93258947368421063"/>
    <n v="0.97663551401869164"/>
    <n v="0.90131250000000018"/>
  </r>
  <r>
    <n v="329"/>
    <x v="27"/>
    <x v="1"/>
    <x v="0"/>
    <n v="480"/>
    <n v="118"/>
    <n v="1602"/>
    <n v="1556"/>
    <n v="46"/>
    <n v="12"/>
    <n v="362"/>
    <n v="0.75416666666666665"/>
    <n v="0.88508287292817678"/>
    <n v="0.97128589263420728"/>
    <n v="0.64833333333333332"/>
  </r>
  <r>
    <n v="330"/>
    <x v="27"/>
    <x v="1"/>
    <x v="1"/>
    <n v="480"/>
    <n v="7"/>
    <n v="1954"/>
    <n v="1887"/>
    <n v="67"/>
    <n v="12.6"/>
    <n v="473"/>
    <n v="0.98541666666666672"/>
    <n v="0.86752642706131067"/>
    <n v="0.96571136131013302"/>
    <n v="0.82556249999999987"/>
  </r>
  <r>
    <n v="331"/>
    <x v="27"/>
    <x v="1"/>
    <x v="2"/>
    <n v="480"/>
    <n v="88"/>
    <n v="1686"/>
    <n v="1633"/>
    <n v="53"/>
    <n v="13.2"/>
    <n v="392"/>
    <n v="0.81666666666666665"/>
    <n v="0.94622448979591822"/>
    <n v="0.96856465005931203"/>
    <n v="0.74845833333333323"/>
  </r>
  <r>
    <n v="332"/>
    <x v="27"/>
    <x v="1"/>
    <x v="3"/>
    <n v="480"/>
    <n v="33"/>
    <n v="1871"/>
    <n v="1851"/>
    <n v="20"/>
    <n v="13.8"/>
    <n v="447"/>
    <n v="0.93125000000000002"/>
    <n v="0.96270693512304262"/>
    <n v="0.98931052912880812"/>
    <n v="0.88693750000000005"/>
  </r>
  <r>
    <n v="333"/>
    <x v="27"/>
    <x v="2"/>
    <x v="0"/>
    <n v="480"/>
    <n v="58"/>
    <n v="2047"/>
    <n v="2026"/>
    <n v="21"/>
    <n v="12"/>
    <n v="422"/>
    <n v="0.87916666666666665"/>
    <n v="0.9701421800947867"/>
    <n v="0.98974108451392284"/>
    <n v="0.84416666666666673"/>
  </r>
  <r>
    <n v="334"/>
    <x v="27"/>
    <x v="2"/>
    <x v="1"/>
    <n v="480"/>
    <n v="143"/>
    <n v="1487"/>
    <n v="1424"/>
    <n v="63"/>
    <n v="12.6"/>
    <n v="337"/>
    <n v="0.70208333333333328"/>
    <n v="0.92661721068249259"/>
    <n v="0.95763281775386688"/>
    <n v="0.623"/>
  </r>
  <r>
    <n v="335"/>
    <x v="27"/>
    <x v="2"/>
    <x v="2"/>
    <n v="480"/>
    <n v="34"/>
    <n v="1572"/>
    <n v="1493"/>
    <n v="79"/>
    <n v="13.2"/>
    <n v="446"/>
    <n v="0.9291666666666667"/>
    <n v="0.7754260089686098"/>
    <n v="0.94974554707379133"/>
    <n v="0.68429166666666652"/>
  </r>
  <r>
    <n v="336"/>
    <x v="27"/>
    <x v="2"/>
    <x v="3"/>
    <n v="480"/>
    <n v="44"/>
    <n v="1552"/>
    <n v="1531"/>
    <n v="21"/>
    <n v="13.8"/>
    <n v="436"/>
    <n v="0.90833333333333333"/>
    <n v="0.81871559633027535"/>
    <n v="0.9864690721649485"/>
    <n v="0.73360416666666683"/>
  </r>
  <r>
    <n v="337"/>
    <x v="28"/>
    <x v="0"/>
    <x v="0"/>
    <n v="480"/>
    <n v="107"/>
    <n v="1797"/>
    <n v="1743"/>
    <n v="54"/>
    <n v="12"/>
    <n v="373"/>
    <n v="0.77708333333333335"/>
    <n v="0.96353887399463811"/>
    <n v="0.96994991652754592"/>
    <n v="0.72625000000000006"/>
  </r>
  <r>
    <n v="338"/>
    <x v="28"/>
    <x v="0"/>
    <x v="1"/>
    <n v="480"/>
    <n v="101"/>
    <n v="1502"/>
    <n v="1439"/>
    <n v="63"/>
    <n v="12.6"/>
    <n v="379"/>
    <n v="0.7895833333333333"/>
    <n v="0.83224274406332455"/>
    <n v="0.95805592543275631"/>
    <n v="0.62956249999999991"/>
  </r>
  <r>
    <n v="339"/>
    <x v="28"/>
    <x v="0"/>
    <x v="2"/>
    <n v="480"/>
    <n v="0"/>
    <n v="2082"/>
    <n v="2009"/>
    <n v="73"/>
    <n v="13.2"/>
    <n v="480"/>
    <n v="1"/>
    <n v="0.95424999999999993"/>
    <n v="0.96493756003842457"/>
    <n v="0.92079166666666656"/>
  </r>
  <r>
    <n v="340"/>
    <x v="28"/>
    <x v="0"/>
    <x v="3"/>
    <n v="480"/>
    <n v="107"/>
    <n v="1523"/>
    <n v="1447"/>
    <n v="76"/>
    <n v="13.8"/>
    <n v="373"/>
    <n v="0.77708333333333335"/>
    <n v="0.93911528150134049"/>
    <n v="0.95009848982271827"/>
    <n v="0.69335416666666672"/>
  </r>
  <r>
    <n v="341"/>
    <x v="28"/>
    <x v="1"/>
    <x v="0"/>
    <n v="480"/>
    <n v="11"/>
    <n v="1830"/>
    <n v="1755"/>
    <n v="75"/>
    <n v="12"/>
    <n v="469"/>
    <n v="0.9770833333333333"/>
    <n v="0.78038379530916846"/>
    <n v="0.95901639344262291"/>
    <n v="0.73124999999999996"/>
  </r>
  <r>
    <n v="342"/>
    <x v="28"/>
    <x v="1"/>
    <x v="1"/>
    <n v="480"/>
    <n v="0"/>
    <n v="2107"/>
    <n v="2053"/>
    <n v="54"/>
    <n v="12.6"/>
    <n v="480"/>
    <n v="1"/>
    <n v="0.92181250000000003"/>
    <n v="0.97437114380635981"/>
    <n v="0.89818750000000014"/>
  </r>
  <r>
    <n v="343"/>
    <x v="28"/>
    <x v="1"/>
    <x v="2"/>
    <n v="480"/>
    <n v="0"/>
    <n v="1892"/>
    <n v="1869"/>
    <n v="23"/>
    <n v="13.2"/>
    <n v="480"/>
    <n v="1"/>
    <n v="0.86716666666666664"/>
    <n v="0.9878435517970402"/>
    <n v="0.85662499999999997"/>
  </r>
  <r>
    <n v="344"/>
    <x v="28"/>
    <x v="1"/>
    <x v="3"/>
    <n v="480"/>
    <n v="82"/>
    <n v="1299"/>
    <n v="1270"/>
    <n v="29"/>
    <n v="13.8"/>
    <n v="398"/>
    <n v="0.82916666666666672"/>
    <n v="0.75067839195979902"/>
    <n v="0.97767513471901457"/>
    <n v="0.60854166666666676"/>
  </r>
  <r>
    <n v="345"/>
    <x v="28"/>
    <x v="2"/>
    <x v="0"/>
    <n v="480"/>
    <n v="11"/>
    <n v="2184"/>
    <n v="2065"/>
    <n v="119"/>
    <n v="12"/>
    <n v="469"/>
    <n v="0.9770833333333333"/>
    <n v="0.93134328358208951"/>
    <n v="0.94551282051282048"/>
    <n v="0.86041666666666661"/>
  </r>
  <r>
    <n v="346"/>
    <x v="28"/>
    <x v="2"/>
    <x v="1"/>
    <n v="480"/>
    <n v="25"/>
    <n v="1818"/>
    <n v="1743"/>
    <n v="75"/>
    <n v="12.6"/>
    <n v="455"/>
    <n v="0.94791666666666663"/>
    <n v="0.83907692307692305"/>
    <n v="0.95874587458745875"/>
    <n v="0.76256249999999992"/>
  </r>
  <r>
    <n v="347"/>
    <x v="28"/>
    <x v="2"/>
    <x v="2"/>
    <n v="480"/>
    <n v="56"/>
    <n v="1740"/>
    <n v="1639"/>
    <n v="101"/>
    <n v="13.2"/>
    <n v="424"/>
    <n v="0.8833333333333333"/>
    <n v="0.90283018867924525"/>
    <n v="0.94195402298850572"/>
    <n v="0.75120833333333326"/>
  </r>
  <r>
    <n v="348"/>
    <x v="28"/>
    <x v="2"/>
    <x v="3"/>
    <n v="480"/>
    <n v="135"/>
    <n v="1297"/>
    <n v="1256"/>
    <n v="41"/>
    <n v="13.8"/>
    <n v="345"/>
    <n v="0.71875"/>
    <n v="0.86466666666666681"/>
    <n v="0.9683885890516577"/>
    <n v="0.60183333333333344"/>
  </r>
  <r>
    <n v="349"/>
    <x v="29"/>
    <x v="0"/>
    <x v="0"/>
    <n v="480"/>
    <n v="9"/>
    <n v="1794"/>
    <n v="1708"/>
    <n v="86"/>
    <n v="12"/>
    <n v="471"/>
    <n v="0.98124999999999996"/>
    <n v="0.76178343949044591"/>
    <n v="0.95206243032329985"/>
    <n v="0.71166666666666667"/>
  </r>
  <r>
    <n v="350"/>
    <x v="29"/>
    <x v="0"/>
    <x v="1"/>
    <n v="480"/>
    <n v="53"/>
    <n v="1663"/>
    <n v="1636"/>
    <n v="27"/>
    <n v="12.6"/>
    <n v="427"/>
    <n v="0.88958333333333328"/>
    <n v="0.81786885245901642"/>
    <n v="0.98376428141912209"/>
    <n v="0.71575"/>
  </r>
  <r>
    <n v="351"/>
    <x v="29"/>
    <x v="0"/>
    <x v="2"/>
    <n v="480"/>
    <n v="21"/>
    <n v="1991"/>
    <n v="1943"/>
    <n v="48"/>
    <n v="13.2"/>
    <n v="459"/>
    <n v="0.95625000000000004"/>
    <n v="0.95429193899782128"/>
    <n v="0.97589151180311406"/>
    <n v="0.89054166666666668"/>
  </r>
  <r>
    <n v="352"/>
    <x v="29"/>
    <x v="0"/>
    <x v="3"/>
    <n v="480"/>
    <n v="32"/>
    <n v="1580"/>
    <n v="1499"/>
    <n v="81"/>
    <n v="13.8"/>
    <n v="448"/>
    <n v="0.93333333333333335"/>
    <n v="0.81116071428571423"/>
    <n v="0.94873417721518982"/>
    <n v="0.7182708333333333"/>
  </r>
  <r>
    <n v="353"/>
    <x v="29"/>
    <x v="1"/>
    <x v="0"/>
    <n v="480"/>
    <n v="0"/>
    <n v="2009"/>
    <n v="1956"/>
    <n v="53"/>
    <n v="12"/>
    <n v="480"/>
    <n v="1"/>
    <n v="0.83708333333333329"/>
    <n v="0.9736187157789945"/>
    <n v="0.81499999999999995"/>
  </r>
  <r>
    <n v="354"/>
    <x v="29"/>
    <x v="1"/>
    <x v="1"/>
    <n v="480"/>
    <n v="0"/>
    <n v="1779"/>
    <n v="1725"/>
    <n v="54"/>
    <n v="12.6"/>
    <n v="480"/>
    <n v="1"/>
    <n v="0.77831249999999996"/>
    <n v="0.96964586846542999"/>
    <n v="0.75468749999999996"/>
  </r>
  <r>
    <n v="355"/>
    <x v="29"/>
    <x v="1"/>
    <x v="2"/>
    <n v="480"/>
    <n v="18"/>
    <n v="1579"/>
    <n v="1527"/>
    <n v="52"/>
    <n v="13.2"/>
    <n v="462"/>
    <n v="0.96250000000000002"/>
    <n v="0.75190476190476185"/>
    <n v="0.96706776440785303"/>
    <n v="0.69987499999999991"/>
  </r>
  <r>
    <n v="356"/>
    <x v="29"/>
    <x v="1"/>
    <x v="3"/>
    <n v="480"/>
    <n v="101"/>
    <n v="1527"/>
    <n v="1451"/>
    <n v="76"/>
    <n v="13.8"/>
    <n v="379"/>
    <n v="0.7895833333333333"/>
    <n v="0.9266754617414249"/>
    <n v="0.95022920759659468"/>
    <n v="0.69527083333333339"/>
  </r>
  <r>
    <n v="357"/>
    <x v="29"/>
    <x v="2"/>
    <x v="0"/>
    <n v="480"/>
    <n v="0"/>
    <n v="1946"/>
    <n v="1925"/>
    <n v="21"/>
    <n v="12"/>
    <n v="480"/>
    <n v="1"/>
    <n v="0.81083333333333329"/>
    <n v="0.98920863309352514"/>
    <n v="0.80208333333333326"/>
  </r>
  <r>
    <n v="358"/>
    <x v="29"/>
    <x v="2"/>
    <x v="1"/>
    <n v="480"/>
    <n v="36"/>
    <n v="1900"/>
    <n v="1789"/>
    <n v="111"/>
    <n v="12.6"/>
    <n v="444"/>
    <n v="0.92500000000000004"/>
    <n v="0.89864864864864868"/>
    <n v="0.94157894736842107"/>
    <n v="0.78268750000000009"/>
  </r>
  <r>
    <n v="359"/>
    <x v="29"/>
    <x v="2"/>
    <x v="2"/>
    <n v="480"/>
    <n v="38"/>
    <n v="1867"/>
    <n v="1806"/>
    <n v="61"/>
    <n v="13.2"/>
    <n v="442"/>
    <n v="0.92083333333333328"/>
    <n v="0.92927601809954741"/>
    <n v="0.96732726298875205"/>
    <n v="0.82774999999999987"/>
  </r>
  <r>
    <n v="360"/>
    <x v="29"/>
    <x v="2"/>
    <x v="3"/>
    <n v="480"/>
    <n v="11"/>
    <n v="1645"/>
    <n v="1589"/>
    <n v="56"/>
    <n v="13.8"/>
    <n v="469"/>
    <n v="0.9770833333333333"/>
    <n v="0.80671641791044779"/>
    <n v="0.96595744680851059"/>
    <n v="0.76139583333333327"/>
  </r>
  <r>
    <n v="361"/>
    <x v="30"/>
    <x v="0"/>
    <x v="0"/>
    <n v="480"/>
    <n v="242"/>
    <n v="1041"/>
    <n v="981"/>
    <n v="60"/>
    <n v="12"/>
    <n v="238"/>
    <n v="0.49583333333333335"/>
    <n v="0.87478991596638656"/>
    <n v="0.94236311239193082"/>
    <n v="0.40875"/>
  </r>
  <r>
    <n v="362"/>
    <x v="30"/>
    <x v="0"/>
    <x v="1"/>
    <n v="480"/>
    <n v="0"/>
    <n v="1906"/>
    <n v="1866"/>
    <n v="40"/>
    <n v="12.6"/>
    <n v="480"/>
    <n v="1"/>
    <n v="0.83387499999999992"/>
    <n v="0.97901364113326339"/>
    <n v="0.81637499999999996"/>
  </r>
  <r>
    <n v="363"/>
    <x v="30"/>
    <x v="0"/>
    <x v="2"/>
    <n v="480"/>
    <n v="0"/>
    <n v="1707"/>
    <n v="1637"/>
    <n v="70"/>
    <n v="13.2"/>
    <n v="480"/>
    <n v="1"/>
    <n v="0.78237499999999993"/>
    <n v="0.95899238429994138"/>
    <n v="0.75029166666666658"/>
  </r>
  <r>
    <n v="364"/>
    <x v="30"/>
    <x v="0"/>
    <x v="3"/>
    <n v="480"/>
    <n v="37"/>
    <n v="1559"/>
    <n v="1517"/>
    <n v="42"/>
    <n v="13.8"/>
    <n v="443"/>
    <n v="0.92291666666666672"/>
    <n v="0.80941309255079008"/>
    <n v="0.97305965362411806"/>
    <n v="0.72689583333333341"/>
  </r>
  <r>
    <n v="365"/>
    <x v="30"/>
    <x v="1"/>
    <x v="0"/>
    <n v="480"/>
    <n v="37"/>
    <n v="1665"/>
    <n v="1596"/>
    <n v="69"/>
    <n v="12"/>
    <n v="443"/>
    <n v="0.92291666666666672"/>
    <n v="0.75169300225733637"/>
    <n v="0.95855855855855854"/>
    <n v="0.66500000000000004"/>
  </r>
  <r>
    <n v="366"/>
    <x v="30"/>
    <x v="1"/>
    <x v="1"/>
    <n v="480"/>
    <n v="45"/>
    <n v="1668"/>
    <n v="1610"/>
    <n v="58"/>
    <n v="12.6"/>
    <n v="435"/>
    <n v="0.90625"/>
    <n v="0.80524137931034478"/>
    <n v="0.96522781774580335"/>
    <n v="0.70437499999999997"/>
  </r>
  <r>
    <n v="367"/>
    <x v="30"/>
    <x v="1"/>
    <x v="2"/>
    <n v="480"/>
    <n v="74"/>
    <n v="1579"/>
    <n v="1521"/>
    <n v="58"/>
    <n v="13.2"/>
    <n v="406"/>
    <n v="0.84583333333333333"/>
    <n v="0.85561576354679802"/>
    <n v="0.96326789107029764"/>
    <n v="0.69712499999999999"/>
  </r>
  <r>
    <n v="368"/>
    <x v="30"/>
    <x v="1"/>
    <x v="3"/>
    <n v="480"/>
    <n v="26"/>
    <n v="1575"/>
    <n v="1556"/>
    <n v="19"/>
    <n v="13.8"/>
    <n v="454"/>
    <n v="0.9458333333333333"/>
    <n v="0.7979074889867841"/>
    <n v="0.98793650793650789"/>
    <n v="0.74558333333333326"/>
  </r>
  <r>
    <n v="369"/>
    <x v="30"/>
    <x v="2"/>
    <x v="0"/>
    <n v="480"/>
    <n v="420"/>
    <n v="255"/>
    <n v="245"/>
    <n v="10"/>
    <n v="12"/>
    <n v="60"/>
    <n v="0.125"/>
    <n v="0.85"/>
    <n v="0.96078431372549022"/>
    <n v="0.10208333333333333"/>
  </r>
  <r>
    <n v="370"/>
    <x v="30"/>
    <x v="2"/>
    <x v="1"/>
    <n v="480"/>
    <n v="0"/>
    <n v="2041"/>
    <n v="1921"/>
    <n v="120"/>
    <n v="12.6"/>
    <n v="480"/>
    <n v="1"/>
    <n v="0.89293749999999994"/>
    <n v="0.94120529152376287"/>
    <n v="0.84043749999999995"/>
  </r>
  <r>
    <n v="371"/>
    <x v="30"/>
    <x v="2"/>
    <x v="2"/>
    <n v="480"/>
    <n v="0"/>
    <n v="2034"/>
    <n v="1922"/>
    <n v="112"/>
    <n v="13.2"/>
    <n v="480"/>
    <n v="1"/>
    <n v="0.93225000000000002"/>
    <n v="0.94493608652900685"/>
    <n v="0.88091666666666668"/>
  </r>
  <r>
    <n v="372"/>
    <x v="30"/>
    <x v="2"/>
    <x v="3"/>
    <n v="480"/>
    <n v="110"/>
    <n v="1209"/>
    <n v="1176"/>
    <n v="33"/>
    <n v="13.8"/>
    <n v="370"/>
    <n v="0.77083333333333337"/>
    <n v="0.75154054054054054"/>
    <n v="0.97270471464019848"/>
    <n v="0.5635"/>
  </r>
  <r>
    <n v="373"/>
    <x v="31"/>
    <x v="0"/>
    <x v="0"/>
    <n v="480"/>
    <n v="7"/>
    <n v="1948"/>
    <n v="1846"/>
    <n v="102"/>
    <n v="12"/>
    <n v="473"/>
    <n v="0.98541666666666672"/>
    <n v="0.82367864693446091"/>
    <n v="0.94763860369609854"/>
    <n v="0.76916666666666678"/>
  </r>
  <r>
    <n v="374"/>
    <x v="31"/>
    <x v="0"/>
    <x v="1"/>
    <n v="480"/>
    <n v="5"/>
    <n v="1946"/>
    <n v="1863"/>
    <n v="83"/>
    <n v="12.6"/>
    <n v="475"/>
    <n v="0.98958333333333337"/>
    <n v="0.86033684210526307"/>
    <n v="0.95734840698869472"/>
    <n v="0.81506249999999991"/>
  </r>
  <r>
    <n v="375"/>
    <x v="31"/>
    <x v="0"/>
    <x v="2"/>
    <n v="480"/>
    <n v="0"/>
    <n v="1781"/>
    <n v="1728"/>
    <n v="53"/>
    <n v="13.2"/>
    <n v="480"/>
    <n v="1"/>
    <n v="0.81629166666666653"/>
    <n v="0.97024143739472202"/>
    <n v="0.79199999999999982"/>
  </r>
  <r>
    <n v="376"/>
    <x v="31"/>
    <x v="0"/>
    <x v="3"/>
    <n v="480"/>
    <n v="34"/>
    <n v="1863"/>
    <n v="1756"/>
    <n v="107"/>
    <n v="13.8"/>
    <n v="446"/>
    <n v="0.9291666666666667"/>
    <n v="0.96073991031390138"/>
    <n v="0.94256575415995703"/>
    <n v="0.8414166666666667"/>
  </r>
  <r>
    <n v="377"/>
    <x v="31"/>
    <x v="1"/>
    <x v="0"/>
    <n v="480"/>
    <n v="5"/>
    <n v="2089"/>
    <n v="2031"/>
    <n v="58"/>
    <n v="12"/>
    <n v="475"/>
    <n v="0.98958333333333337"/>
    <n v="0.87957894736842102"/>
    <n v="0.9722355193872666"/>
    <n v="0.84624999999999995"/>
  </r>
  <r>
    <n v="378"/>
    <x v="31"/>
    <x v="1"/>
    <x v="1"/>
    <n v="480"/>
    <n v="112"/>
    <n v="1355"/>
    <n v="1308"/>
    <n v="47"/>
    <n v="12.6"/>
    <n v="368"/>
    <n v="0.76666666666666672"/>
    <n v="0.77323369565217392"/>
    <n v="0.96531365313653139"/>
    <n v="0.57225000000000004"/>
  </r>
  <r>
    <n v="379"/>
    <x v="31"/>
    <x v="1"/>
    <x v="2"/>
    <n v="480"/>
    <n v="0"/>
    <n v="1655"/>
    <n v="1636"/>
    <n v="19"/>
    <n v="13.2"/>
    <n v="480"/>
    <n v="1"/>
    <n v="0.75854166666666667"/>
    <n v="0.9885196374622357"/>
    <n v="0.74983333333333335"/>
  </r>
  <r>
    <n v="380"/>
    <x v="31"/>
    <x v="1"/>
    <x v="3"/>
    <n v="480"/>
    <n v="0"/>
    <n v="1981"/>
    <n v="1934"/>
    <n v="47"/>
    <n v="13.8"/>
    <n v="480"/>
    <n v="1"/>
    <n v="0.94922916666666679"/>
    <n v="0.97627460878344274"/>
    <n v="0.92670833333333347"/>
  </r>
  <r>
    <n v="381"/>
    <x v="31"/>
    <x v="2"/>
    <x v="0"/>
    <n v="480"/>
    <n v="120"/>
    <n v="1719"/>
    <n v="1666"/>
    <n v="53"/>
    <n v="12"/>
    <n v="360"/>
    <n v="0.75"/>
    <n v="0.95499999999999996"/>
    <n v="0.96916812100058169"/>
    <n v="0.6941666666666666"/>
  </r>
  <r>
    <n v="382"/>
    <x v="31"/>
    <x v="2"/>
    <x v="1"/>
    <n v="480"/>
    <n v="58"/>
    <n v="1902"/>
    <n v="1864"/>
    <n v="38"/>
    <n v="12.6"/>
    <n v="422"/>
    <n v="0.87916666666666665"/>
    <n v="0.94649289099526068"/>
    <n v="0.98002103049421663"/>
    <n v="0.8155"/>
  </r>
  <r>
    <n v="383"/>
    <x v="31"/>
    <x v="2"/>
    <x v="2"/>
    <n v="480"/>
    <n v="0"/>
    <n v="1670"/>
    <n v="1575"/>
    <n v="95"/>
    <n v="13.2"/>
    <n v="480"/>
    <n v="1"/>
    <n v="0.76541666666666663"/>
    <n v="0.94311377245508987"/>
    <n v="0.72187500000000004"/>
  </r>
  <r>
    <n v="384"/>
    <x v="31"/>
    <x v="2"/>
    <x v="3"/>
    <n v="480"/>
    <n v="27"/>
    <n v="1627"/>
    <n v="1555"/>
    <n v="72"/>
    <n v="13.8"/>
    <n v="453"/>
    <n v="0.94374999999999998"/>
    <n v="0.82607064017660048"/>
    <n v="0.95574677320221268"/>
    <n v="0.74510416666666668"/>
  </r>
  <r>
    <n v="385"/>
    <x v="32"/>
    <x v="0"/>
    <x v="0"/>
    <n v="480"/>
    <n v="43"/>
    <n v="1657"/>
    <n v="1630"/>
    <n v="27"/>
    <n v="12"/>
    <n v="437"/>
    <n v="0.91041666666666665"/>
    <n v="0.75835240274599547"/>
    <n v="0.98370549185274592"/>
    <n v="0.6791666666666667"/>
  </r>
  <r>
    <n v="386"/>
    <x v="32"/>
    <x v="0"/>
    <x v="1"/>
    <n v="480"/>
    <n v="14"/>
    <n v="1692"/>
    <n v="1593"/>
    <n v="99"/>
    <n v="12.6"/>
    <n v="466"/>
    <n v="0.97083333333333333"/>
    <n v="0.76248927038626613"/>
    <n v="0.94148936170212771"/>
    <n v="0.6969375000000001"/>
  </r>
  <r>
    <n v="387"/>
    <x v="32"/>
    <x v="0"/>
    <x v="2"/>
    <n v="480"/>
    <n v="11"/>
    <n v="1599"/>
    <n v="1525"/>
    <n v="74"/>
    <n v="13.2"/>
    <n v="469"/>
    <n v="0.9770833333333333"/>
    <n v="0.75006396588486135"/>
    <n v="0.95372107567229514"/>
    <n v="0.69895833333333324"/>
  </r>
  <r>
    <n v="388"/>
    <x v="32"/>
    <x v="0"/>
    <x v="3"/>
    <n v="480"/>
    <n v="40"/>
    <n v="1808"/>
    <n v="1752"/>
    <n v="56"/>
    <n v="13.8"/>
    <n v="440"/>
    <n v="0.91666666666666663"/>
    <n v="0.94509090909090909"/>
    <n v="0.96902654867256632"/>
    <n v="0.83949999999999991"/>
  </r>
  <r>
    <n v="389"/>
    <x v="32"/>
    <x v="1"/>
    <x v="0"/>
    <n v="480"/>
    <n v="50"/>
    <n v="1702"/>
    <n v="1654"/>
    <n v="48"/>
    <n v="12"/>
    <n v="430"/>
    <n v="0.89583333333333337"/>
    <n v="0.79162790697674423"/>
    <n v="0.97179788484136309"/>
    <n v="0.68916666666666671"/>
  </r>
  <r>
    <n v="390"/>
    <x v="32"/>
    <x v="1"/>
    <x v="1"/>
    <n v="480"/>
    <n v="74"/>
    <n v="1873"/>
    <n v="1851"/>
    <n v="22"/>
    <n v="12.6"/>
    <n v="406"/>
    <n v="0.84583333333333333"/>
    <n v="0.96879310344827585"/>
    <n v="0.98825413774693005"/>
    <n v="0.80981249999999994"/>
  </r>
  <r>
    <n v="391"/>
    <x v="32"/>
    <x v="1"/>
    <x v="2"/>
    <n v="480"/>
    <n v="56"/>
    <n v="1781"/>
    <n v="1755"/>
    <n v="26"/>
    <n v="13.2"/>
    <n v="424"/>
    <n v="0.8833333333333333"/>
    <n v="0.92410377358490559"/>
    <n v="0.98540145985401462"/>
    <n v="0.80437499999999984"/>
  </r>
  <r>
    <n v="392"/>
    <x v="32"/>
    <x v="1"/>
    <x v="3"/>
    <n v="480"/>
    <n v="142"/>
    <n v="1258"/>
    <n v="1188"/>
    <n v="70"/>
    <n v="13.8"/>
    <n v="338"/>
    <n v="0.70416666666666672"/>
    <n v="0.85603550295858"/>
    <n v="0.94435612082670906"/>
    <n v="0.56925000000000014"/>
  </r>
  <r>
    <n v="393"/>
    <x v="32"/>
    <x v="2"/>
    <x v="0"/>
    <n v="480"/>
    <n v="139"/>
    <n v="1553"/>
    <n v="1482"/>
    <n v="71"/>
    <n v="12"/>
    <n v="341"/>
    <n v="0.7104166666666667"/>
    <n v="0.91085043988269798"/>
    <n v="0.95428203477141016"/>
    <n v="0.61750000000000005"/>
  </r>
  <r>
    <n v="394"/>
    <x v="32"/>
    <x v="2"/>
    <x v="1"/>
    <n v="480"/>
    <n v="165"/>
    <n v="1128"/>
    <n v="1078"/>
    <n v="50"/>
    <n v="12.6"/>
    <n v="315"/>
    <n v="0.65625"/>
    <n v="0.752"/>
    <n v="0.95567375886524819"/>
    <n v="0.47162499999999996"/>
  </r>
  <r>
    <n v="395"/>
    <x v="32"/>
    <x v="2"/>
    <x v="2"/>
    <n v="480"/>
    <n v="118"/>
    <n v="1253"/>
    <n v="1209"/>
    <n v="44"/>
    <n v="13.2"/>
    <n v="362"/>
    <n v="0.75416666666666665"/>
    <n v="0.7614917127071823"/>
    <n v="0.96488427773343977"/>
    <n v="0.55412499999999998"/>
  </r>
  <r>
    <n v="396"/>
    <x v="32"/>
    <x v="2"/>
    <x v="3"/>
    <n v="480"/>
    <n v="17"/>
    <n v="1910"/>
    <n v="1876"/>
    <n v="34"/>
    <n v="13.8"/>
    <n v="463"/>
    <n v="0.96458333333333335"/>
    <n v="0.94881209503239738"/>
    <n v="0.98219895287958114"/>
    <n v="0.89891666666666659"/>
  </r>
  <r>
    <n v="397"/>
    <x v="33"/>
    <x v="0"/>
    <x v="0"/>
    <n v="480"/>
    <n v="27"/>
    <n v="2113"/>
    <n v="2066"/>
    <n v="47"/>
    <n v="12"/>
    <n v="453"/>
    <n v="0.94374999999999998"/>
    <n v="0.93289183222958061"/>
    <n v="0.97775674396592527"/>
    <n v="0.86083333333333334"/>
  </r>
  <r>
    <n v="398"/>
    <x v="33"/>
    <x v="0"/>
    <x v="1"/>
    <n v="480"/>
    <n v="42"/>
    <n v="1915"/>
    <n v="1858"/>
    <n v="57"/>
    <n v="12.6"/>
    <n v="438"/>
    <n v="0.91249999999999998"/>
    <n v="0.91815068493150687"/>
    <n v="0.97023498694516974"/>
    <n v="0.81287500000000001"/>
  </r>
  <r>
    <n v="399"/>
    <x v="33"/>
    <x v="0"/>
    <x v="2"/>
    <n v="480"/>
    <n v="0"/>
    <n v="2029"/>
    <n v="1980"/>
    <n v="49"/>
    <n v="13.2"/>
    <n v="480"/>
    <n v="1"/>
    <n v="0.92995833333333333"/>
    <n v="0.97585017249876782"/>
    <n v="0.90749999999999997"/>
  </r>
  <r>
    <n v="400"/>
    <x v="33"/>
    <x v="0"/>
    <x v="3"/>
    <n v="480"/>
    <n v="82"/>
    <n v="1565"/>
    <n v="1500"/>
    <n v="65"/>
    <n v="13.8"/>
    <n v="398"/>
    <n v="0.82916666666666672"/>
    <n v="0.90439698492462317"/>
    <n v="0.95846645367412142"/>
    <n v="0.71875000000000011"/>
  </r>
  <r>
    <n v="401"/>
    <x v="33"/>
    <x v="1"/>
    <x v="0"/>
    <n v="480"/>
    <n v="0"/>
    <n v="2030"/>
    <n v="1934"/>
    <n v="96"/>
    <n v="12"/>
    <n v="480"/>
    <n v="1"/>
    <n v="0.84583333333333333"/>
    <n v="0.9527093596059113"/>
    <n v="0.80583333333333329"/>
  </r>
  <r>
    <n v="402"/>
    <x v="33"/>
    <x v="1"/>
    <x v="1"/>
    <n v="480"/>
    <n v="0"/>
    <n v="1860"/>
    <n v="1816"/>
    <n v="44"/>
    <n v="12.6"/>
    <n v="480"/>
    <n v="1"/>
    <n v="0.81374999999999997"/>
    <n v="0.97634408602150535"/>
    <n v="0.79449999999999998"/>
  </r>
  <r>
    <n v="403"/>
    <x v="33"/>
    <x v="1"/>
    <x v="2"/>
    <n v="480"/>
    <n v="12"/>
    <n v="1792"/>
    <n v="1708"/>
    <n v="84"/>
    <n v="13.2"/>
    <n v="468"/>
    <n v="0.97499999999999998"/>
    <n v="0.84239316239316231"/>
    <n v="0.953125"/>
    <n v="0.78283333333333327"/>
  </r>
  <r>
    <n v="404"/>
    <x v="33"/>
    <x v="1"/>
    <x v="3"/>
    <n v="480"/>
    <n v="35"/>
    <n v="1570"/>
    <n v="1532"/>
    <n v="38"/>
    <n v="13.8"/>
    <n v="445"/>
    <n v="0.92708333333333337"/>
    <n v="0.81146067415730339"/>
    <n v="0.97579617834394905"/>
    <n v="0.73408333333333331"/>
  </r>
  <r>
    <n v="405"/>
    <x v="33"/>
    <x v="2"/>
    <x v="0"/>
    <n v="480"/>
    <n v="160"/>
    <n v="1438"/>
    <n v="1405"/>
    <n v="33"/>
    <n v="12"/>
    <n v="320"/>
    <n v="0.66666666666666663"/>
    <n v="0.89875000000000005"/>
    <n v="0.97705146036161339"/>
    <n v="0.5854166666666667"/>
  </r>
  <r>
    <n v="406"/>
    <x v="33"/>
    <x v="2"/>
    <x v="1"/>
    <n v="480"/>
    <n v="0"/>
    <n v="2221"/>
    <n v="2171"/>
    <n v="50"/>
    <n v="12.6"/>
    <n v="480"/>
    <n v="1"/>
    <n v="0.97168749999999993"/>
    <n v="0.97748761819000451"/>
    <n v="0.94981249999999995"/>
  </r>
  <r>
    <n v="407"/>
    <x v="33"/>
    <x v="2"/>
    <x v="2"/>
    <n v="480"/>
    <n v="120"/>
    <n v="1582"/>
    <n v="1508"/>
    <n v="74"/>
    <n v="13.2"/>
    <n v="360"/>
    <n v="0.75"/>
    <n v="0.96677777777777762"/>
    <n v="0.95322376738305947"/>
    <n v="0.6911666666666666"/>
  </r>
  <r>
    <n v="408"/>
    <x v="33"/>
    <x v="2"/>
    <x v="3"/>
    <n v="480"/>
    <n v="24"/>
    <n v="1797"/>
    <n v="1743"/>
    <n v="54"/>
    <n v="13.8"/>
    <n v="456"/>
    <n v="0.95"/>
    <n v="0.90638157894736848"/>
    <n v="0.96994991652754592"/>
    <n v="0.83518750000000008"/>
  </r>
  <r>
    <n v="409"/>
    <x v="34"/>
    <x v="0"/>
    <x v="0"/>
    <n v="480"/>
    <n v="0"/>
    <n v="2121"/>
    <n v="2073"/>
    <n v="48"/>
    <n v="12"/>
    <n v="480"/>
    <n v="1"/>
    <n v="0.88375000000000004"/>
    <n v="0.97736916548797736"/>
    <n v="0.86375000000000002"/>
  </r>
  <r>
    <n v="410"/>
    <x v="34"/>
    <x v="0"/>
    <x v="1"/>
    <n v="480"/>
    <n v="118"/>
    <n v="1333"/>
    <n v="1320"/>
    <n v="13"/>
    <n v="12.6"/>
    <n v="362"/>
    <n v="0.75416666666666665"/>
    <n v="0.77328729281767949"/>
    <n v="0.99024756189047258"/>
    <n v="0.5774999999999999"/>
  </r>
  <r>
    <n v="411"/>
    <x v="34"/>
    <x v="0"/>
    <x v="2"/>
    <n v="480"/>
    <n v="73"/>
    <n v="1572"/>
    <n v="1536"/>
    <n v="36"/>
    <n v="13.2"/>
    <n v="407"/>
    <n v="0.84791666666666665"/>
    <n v="0.8497297297297296"/>
    <n v="0.97709923664122134"/>
    <n v="0.70399999999999985"/>
  </r>
  <r>
    <n v="412"/>
    <x v="34"/>
    <x v="0"/>
    <x v="3"/>
    <n v="480"/>
    <n v="27"/>
    <n v="1800"/>
    <n v="1774"/>
    <n v="26"/>
    <n v="13.8"/>
    <n v="453"/>
    <n v="0.94374999999999998"/>
    <n v="0.91390728476821192"/>
    <n v="0.98555555555555552"/>
    <n v="0.85004166666666658"/>
  </r>
  <r>
    <n v="413"/>
    <x v="34"/>
    <x v="1"/>
    <x v="0"/>
    <n v="480"/>
    <n v="0"/>
    <n v="2284"/>
    <n v="2177"/>
    <n v="107"/>
    <n v="12"/>
    <n v="480"/>
    <n v="1"/>
    <n v="0.95166666666666666"/>
    <n v="0.95315236427320493"/>
    <n v="0.90708333333333335"/>
  </r>
  <r>
    <n v="414"/>
    <x v="34"/>
    <x v="1"/>
    <x v="1"/>
    <n v="480"/>
    <n v="0"/>
    <n v="1844"/>
    <n v="1806"/>
    <n v="38"/>
    <n v="12.6"/>
    <n v="480"/>
    <n v="1"/>
    <n v="0.80674999999999997"/>
    <n v="0.97939262472885036"/>
    <n v="0.79012499999999997"/>
  </r>
  <r>
    <n v="415"/>
    <x v="34"/>
    <x v="1"/>
    <x v="2"/>
    <n v="480"/>
    <n v="27"/>
    <n v="1891"/>
    <n v="1815"/>
    <n v="76"/>
    <n v="13.2"/>
    <n v="453"/>
    <n v="0.94374999999999998"/>
    <n v="0.91836644591611472"/>
    <n v="0.95980962453728191"/>
    <n v="0.83187499999999992"/>
  </r>
  <r>
    <n v="416"/>
    <x v="34"/>
    <x v="1"/>
    <x v="3"/>
    <n v="480"/>
    <n v="109"/>
    <n v="1508"/>
    <n v="1431"/>
    <n v="77"/>
    <n v="13.8"/>
    <n v="371"/>
    <n v="0.7729166666666667"/>
    <n v="0.93487870619946101"/>
    <n v="0.94893899204244037"/>
    <n v="0.68568750000000012"/>
  </r>
  <r>
    <n v="417"/>
    <x v="34"/>
    <x v="2"/>
    <x v="0"/>
    <n v="480"/>
    <n v="62"/>
    <n v="1600"/>
    <n v="1555"/>
    <n v="45"/>
    <n v="12"/>
    <n v="418"/>
    <n v="0.87083333333333335"/>
    <n v="0.76555023923444976"/>
    <n v="0.97187500000000004"/>
    <n v="0.6479166666666667"/>
  </r>
  <r>
    <n v="418"/>
    <x v="34"/>
    <x v="2"/>
    <x v="1"/>
    <n v="480"/>
    <n v="110"/>
    <n v="1422"/>
    <n v="1358"/>
    <n v="64"/>
    <n v="12.6"/>
    <n v="370"/>
    <n v="0.77083333333333337"/>
    <n v="0.80708108108108112"/>
    <n v="0.95499296765119546"/>
    <n v="0.59412500000000001"/>
  </r>
  <r>
    <n v="419"/>
    <x v="34"/>
    <x v="2"/>
    <x v="2"/>
    <n v="480"/>
    <n v="82"/>
    <n v="1383"/>
    <n v="1313"/>
    <n v="70"/>
    <n v="13.2"/>
    <n v="398"/>
    <n v="0.82916666666666672"/>
    <n v="0.76447236180904521"/>
    <n v="0.94938539407086042"/>
    <n v="0.60179166666666672"/>
  </r>
  <r>
    <n v="420"/>
    <x v="34"/>
    <x v="2"/>
    <x v="3"/>
    <n v="480"/>
    <n v="16"/>
    <n v="1746"/>
    <n v="1724"/>
    <n v="22"/>
    <n v="13.8"/>
    <n v="464"/>
    <n v="0.96666666666666667"/>
    <n v="0.86547413793103456"/>
    <n v="0.98739977090492559"/>
    <n v="0.82608333333333339"/>
  </r>
  <r>
    <n v="421"/>
    <x v="35"/>
    <x v="0"/>
    <x v="0"/>
    <n v="480"/>
    <n v="16"/>
    <n v="1825"/>
    <n v="1793"/>
    <n v="32"/>
    <n v="12"/>
    <n v="464"/>
    <n v="0.96666666666666667"/>
    <n v="0.78663793103448276"/>
    <n v="0.98246575342465758"/>
    <n v="0.74708333333333332"/>
  </r>
  <r>
    <n v="422"/>
    <x v="35"/>
    <x v="0"/>
    <x v="1"/>
    <n v="480"/>
    <n v="0"/>
    <n v="1811"/>
    <n v="1733"/>
    <n v="78"/>
    <n v="12.6"/>
    <n v="480"/>
    <n v="1"/>
    <n v="0.79231249999999998"/>
    <n v="0.95692987299834342"/>
    <n v="0.7581874999999999"/>
  </r>
  <r>
    <n v="423"/>
    <x v="35"/>
    <x v="0"/>
    <x v="2"/>
    <n v="480"/>
    <n v="56"/>
    <n v="1602"/>
    <n v="1520"/>
    <n v="82"/>
    <n v="13.2"/>
    <n v="424"/>
    <n v="0.8833333333333333"/>
    <n v="0.83122641509433959"/>
    <n v="0.94881398252184768"/>
    <n v="0.69666666666666666"/>
  </r>
  <r>
    <n v="424"/>
    <x v="35"/>
    <x v="0"/>
    <x v="3"/>
    <n v="480"/>
    <n v="37"/>
    <n v="1861"/>
    <n v="1761"/>
    <n v="100"/>
    <n v="13.8"/>
    <n v="443"/>
    <n v="0.92291666666666672"/>
    <n v="0.96620767494356674"/>
    <n v="0.94626544868350349"/>
    <n v="0.84381250000000019"/>
  </r>
  <r>
    <n v="425"/>
    <x v="35"/>
    <x v="1"/>
    <x v="0"/>
    <n v="480"/>
    <n v="0"/>
    <n v="2016"/>
    <n v="1941"/>
    <n v="75"/>
    <n v="12"/>
    <n v="480"/>
    <n v="1"/>
    <n v="0.84"/>
    <n v="0.96279761904761907"/>
    <n v="0.80874999999999997"/>
  </r>
  <r>
    <n v="426"/>
    <x v="35"/>
    <x v="1"/>
    <x v="1"/>
    <n v="480"/>
    <n v="28"/>
    <n v="2029"/>
    <n v="1922"/>
    <n v="107"/>
    <n v="12.6"/>
    <n v="452"/>
    <n v="0.94166666666666665"/>
    <n v="0.94267699115044234"/>
    <n v="0.94726466239526863"/>
    <n v="0.84087499999999993"/>
  </r>
  <r>
    <n v="427"/>
    <x v="35"/>
    <x v="1"/>
    <x v="2"/>
    <n v="480"/>
    <n v="103"/>
    <n v="1375"/>
    <n v="1354"/>
    <n v="21"/>
    <n v="13.2"/>
    <n v="377"/>
    <n v="0.78541666666666665"/>
    <n v="0.80238726790450932"/>
    <n v="0.98472727272727267"/>
    <n v="0.62058333333333338"/>
  </r>
  <r>
    <n v="428"/>
    <x v="35"/>
    <x v="1"/>
    <x v="3"/>
    <n v="480"/>
    <n v="0"/>
    <n v="1566"/>
    <n v="1495"/>
    <n v="71"/>
    <n v="13.8"/>
    <n v="480"/>
    <n v="1"/>
    <n v="0.75037500000000013"/>
    <n v="0.954661558109834"/>
    <n v="0.71635416666666685"/>
  </r>
  <r>
    <n v="429"/>
    <x v="35"/>
    <x v="2"/>
    <x v="0"/>
    <n v="480"/>
    <n v="104"/>
    <n v="1514"/>
    <n v="1473"/>
    <n v="41"/>
    <n v="12"/>
    <n v="376"/>
    <n v="0.78333333333333333"/>
    <n v="0.80531914893617018"/>
    <n v="0.97291941875825627"/>
    <n v="0.61375000000000002"/>
  </r>
  <r>
    <n v="430"/>
    <x v="35"/>
    <x v="2"/>
    <x v="1"/>
    <n v="480"/>
    <n v="0"/>
    <n v="1831"/>
    <n v="1766"/>
    <n v="65"/>
    <n v="12.6"/>
    <n v="480"/>
    <n v="1"/>
    <n v="0.8010624999999999"/>
    <n v="0.96450027307482256"/>
    <n v="0.7726249999999999"/>
  </r>
  <r>
    <n v="431"/>
    <x v="35"/>
    <x v="2"/>
    <x v="2"/>
    <n v="480"/>
    <n v="22"/>
    <n v="1673"/>
    <n v="1638"/>
    <n v="35"/>
    <n v="13.2"/>
    <n v="458"/>
    <n v="0.95416666666666672"/>
    <n v="0.80362445414847161"/>
    <n v="0.97907949790794979"/>
    <n v="0.75075000000000014"/>
  </r>
  <r>
    <n v="432"/>
    <x v="35"/>
    <x v="2"/>
    <x v="3"/>
    <n v="480"/>
    <n v="82"/>
    <n v="1461"/>
    <n v="1383"/>
    <n v="78"/>
    <n v="13.8"/>
    <n v="398"/>
    <n v="0.82916666666666672"/>
    <n v="0.84429648241206023"/>
    <n v="0.94661190965092401"/>
    <n v="0.66268749999999998"/>
  </r>
  <r>
    <n v="433"/>
    <x v="36"/>
    <x v="0"/>
    <x v="0"/>
    <n v="480"/>
    <n v="11"/>
    <n v="2132"/>
    <n v="2089"/>
    <n v="43"/>
    <n v="12"/>
    <n v="469"/>
    <n v="0.9770833333333333"/>
    <n v="0.9091684434968017"/>
    <n v="0.97983114446529085"/>
    <n v="0.87041666666666673"/>
  </r>
  <r>
    <n v="434"/>
    <x v="36"/>
    <x v="0"/>
    <x v="1"/>
    <n v="480"/>
    <n v="80"/>
    <n v="1458"/>
    <n v="1409"/>
    <n v="49"/>
    <n v="12.6"/>
    <n v="400"/>
    <n v="0.83333333333333337"/>
    <n v="0.76544999999999996"/>
    <n v="0.96639231824417005"/>
    <n v="0.61643749999999997"/>
  </r>
  <r>
    <n v="435"/>
    <x v="36"/>
    <x v="0"/>
    <x v="2"/>
    <n v="480"/>
    <n v="120"/>
    <n v="1409"/>
    <n v="1372"/>
    <n v="37"/>
    <n v="13.2"/>
    <n v="360"/>
    <n v="0.75"/>
    <n v="0.86105555555555557"/>
    <n v="0.97374024130589065"/>
    <n v="0.62883333333333324"/>
  </r>
  <r>
    <n v="436"/>
    <x v="36"/>
    <x v="0"/>
    <x v="3"/>
    <n v="480"/>
    <n v="58"/>
    <n v="1539"/>
    <n v="1462"/>
    <n v="77"/>
    <n v="13.8"/>
    <n v="422"/>
    <n v="0.87916666666666665"/>
    <n v="0.8387914691943128"/>
    <n v="0.94996751137102009"/>
    <n v="0.70054166666666662"/>
  </r>
  <r>
    <n v="437"/>
    <x v="36"/>
    <x v="1"/>
    <x v="0"/>
    <n v="480"/>
    <n v="94"/>
    <n v="1620"/>
    <n v="1560"/>
    <n v="60"/>
    <n v="12"/>
    <n v="386"/>
    <n v="0.8041666666666667"/>
    <n v="0.8393782383419689"/>
    <n v="0.96296296296296291"/>
    <n v="0.65"/>
  </r>
  <r>
    <n v="438"/>
    <x v="36"/>
    <x v="1"/>
    <x v="1"/>
    <n v="480"/>
    <n v="5"/>
    <n v="1891"/>
    <n v="1797"/>
    <n v="94"/>
    <n v="12.6"/>
    <n v="475"/>
    <n v="0.98958333333333337"/>
    <n v="0.83602105263157889"/>
    <n v="0.95029085140137493"/>
    <n v="0.78618750000000004"/>
  </r>
  <r>
    <n v="439"/>
    <x v="36"/>
    <x v="1"/>
    <x v="2"/>
    <n v="480"/>
    <n v="36"/>
    <n v="1849"/>
    <n v="1770"/>
    <n v="79"/>
    <n v="13.2"/>
    <n v="444"/>
    <n v="0.92500000000000004"/>
    <n v="0.91617117117117119"/>
    <n v="0.95727420227149806"/>
    <n v="0.81125000000000003"/>
  </r>
  <r>
    <n v="440"/>
    <x v="36"/>
    <x v="1"/>
    <x v="3"/>
    <n v="480"/>
    <n v="48"/>
    <n v="1617"/>
    <n v="1601"/>
    <n v="16"/>
    <n v="13.8"/>
    <n v="432"/>
    <n v="0.9"/>
    <n v="0.86090277777777791"/>
    <n v="0.99010513296227587"/>
    <n v="0.76714583333333353"/>
  </r>
  <r>
    <n v="441"/>
    <x v="36"/>
    <x v="2"/>
    <x v="0"/>
    <n v="480"/>
    <n v="43"/>
    <n v="1709"/>
    <n v="1635"/>
    <n v="74"/>
    <n v="12"/>
    <n v="437"/>
    <n v="0.91041666666666665"/>
    <n v="0.78215102974828377"/>
    <n v="0.95669982445874779"/>
    <n v="0.68124999999999991"/>
  </r>
  <r>
    <n v="442"/>
    <x v="36"/>
    <x v="2"/>
    <x v="1"/>
    <n v="480"/>
    <n v="170"/>
    <n v="1364"/>
    <n v="1310"/>
    <n v="54"/>
    <n v="12.6"/>
    <n v="310"/>
    <n v="0.64583333333333337"/>
    <n v="0.92399999999999993"/>
    <n v="0.96041055718475077"/>
    <n v="0.573125"/>
  </r>
  <r>
    <n v="443"/>
    <x v="36"/>
    <x v="2"/>
    <x v="2"/>
    <n v="480"/>
    <n v="53"/>
    <n v="1563"/>
    <n v="1531"/>
    <n v="32"/>
    <n v="13.2"/>
    <n v="427"/>
    <n v="0.88958333333333328"/>
    <n v="0.80529274004683837"/>
    <n v="0.97952655150351886"/>
    <n v="0.70170833333333316"/>
  </r>
  <r>
    <n v="444"/>
    <x v="36"/>
    <x v="2"/>
    <x v="3"/>
    <n v="480"/>
    <n v="19"/>
    <n v="1882"/>
    <n v="1802"/>
    <n v="80"/>
    <n v="13.8"/>
    <n v="461"/>
    <n v="0.9604166666666667"/>
    <n v="0.93895878524945775"/>
    <n v="0.95749202975557912"/>
    <n v="0.86345833333333344"/>
  </r>
  <r>
    <n v="445"/>
    <x v="37"/>
    <x v="0"/>
    <x v="0"/>
    <n v="480"/>
    <n v="9"/>
    <n v="2274"/>
    <n v="2179"/>
    <n v="95"/>
    <n v="12"/>
    <n v="471"/>
    <n v="0.98124999999999996"/>
    <n v="0.96560509554140128"/>
    <n v="0.95822339489885666"/>
    <n v="0.90791666666666671"/>
  </r>
  <r>
    <n v="446"/>
    <x v="37"/>
    <x v="0"/>
    <x v="1"/>
    <n v="480"/>
    <n v="53"/>
    <n v="1627"/>
    <n v="1563"/>
    <n v="64"/>
    <n v="12.6"/>
    <n v="427"/>
    <n v="0.88958333333333328"/>
    <n v="0.80016393442622957"/>
    <n v="0.96066379840196681"/>
    <n v="0.68381250000000005"/>
  </r>
  <r>
    <n v="447"/>
    <x v="37"/>
    <x v="0"/>
    <x v="2"/>
    <n v="480"/>
    <n v="22"/>
    <n v="1925"/>
    <n v="1888"/>
    <n v="37"/>
    <n v="13.2"/>
    <n v="458"/>
    <n v="0.95416666666666672"/>
    <n v="0.9246724890829694"/>
    <n v="0.98077922077922075"/>
    <n v="0.86533333333333329"/>
  </r>
  <r>
    <n v="448"/>
    <x v="37"/>
    <x v="0"/>
    <x v="3"/>
    <n v="480"/>
    <n v="0"/>
    <n v="1900"/>
    <n v="1847"/>
    <n v="53"/>
    <n v="13.8"/>
    <n v="480"/>
    <n v="1"/>
    <n v="0.91041666666666665"/>
    <n v="0.97210526315789469"/>
    <n v="0.88502083333333326"/>
  </r>
  <r>
    <n v="449"/>
    <x v="37"/>
    <x v="1"/>
    <x v="0"/>
    <n v="480"/>
    <n v="5"/>
    <n v="2261"/>
    <n v="2211"/>
    <n v="50"/>
    <n v="12"/>
    <n v="475"/>
    <n v="0.98958333333333337"/>
    <n v="0.95199999999999996"/>
    <n v="0.97788589119858471"/>
    <n v="0.9212499999999999"/>
  </r>
  <r>
    <n v="450"/>
    <x v="37"/>
    <x v="1"/>
    <x v="1"/>
    <n v="480"/>
    <n v="11"/>
    <n v="2136"/>
    <n v="2020"/>
    <n v="116"/>
    <n v="12.6"/>
    <n v="469"/>
    <n v="0.9770833333333333"/>
    <n v="0.95641791044776114"/>
    <n v="0.94569288389513106"/>
    <n v="0.88374999999999992"/>
  </r>
  <r>
    <n v="451"/>
    <x v="37"/>
    <x v="1"/>
    <x v="2"/>
    <n v="480"/>
    <n v="115"/>
    <n v="1571"/>
    <n v="1477"/>
    <n v="94"/>
    <n v="13.2"/>
    <n v="365"/>
    <n v="0.76041666666666663"/>
    <n v="0.94690410958904092"/>
    <n v="0.94016549968173135"/>
    <n v="0.67695833333333311"/>
  </r>
  <r>
    <n v="452"/>
    <x v="37"/>
    <x v="1"/>
    <x v="3"/>
    <n v="480"/>
    <n v="5"/>
    <n v="1559"/>
    <n v="1516"/>
    <n v="43"/>
    <n v="13.8"/>
    <n v="475"/>
    <n v="0.98958333333333337"/>
    <n v="0.75488421052631582"/>
    <n v="0.97241821680564466"/>
    <n v="0.72641666666666671"/>
  </r>
  <r>
    <n v="453"/>
    <x v="37"/>
    <x v="2"/>
    <x v="0"/>
    <n v="480"/>
    <n v="72"/>
    <n v="1822"/>
    <n v="1735"/>
    <n v="87"/>
    <n v="12"/>
    <n v="408"/>
    <n v="0.85"/>
    <n v="0.89313725490196083"/>
    <n v="0.95225027442371024"/>
    <n v="0.72291666666666665"/>
  </r>
  <r>
    <n v="454"/>
    <x v="37"/>
    <x v="2"/>
    <x v="1"/>
    <n v="480"/>
    <n v="0"/>
    <n v="2154"/>
    <n v="2066"/>
    <n v="88"/>
    <n v="12.6"/>
    <n v="480"/>
    <n v="1"/>
    <n v="0.94237499999999996"/>
    <n v="0.95914577530176415"/>
    <n v="0.90387499999999998"/>
  </r>
  <r>
    <n v="455"/>
    <x v="37"/>
    <x v="2"/>
    <x v="2"/>
    <n v="480"/>
    <n v="115"/>
    <n v="1331"/>
    <n v="1278"/>
    <n v="53"/>
    <n v="13.2"/>
    <n v="365"/>
    <n v="0.76041666666666663"/>
    <n v="0.8022465753424658"/>
    <n v="0.96018031555221639"/>
    <n v="0.58574999999999999"/>
  </r>
  <r>
    <n v="456"/>
    <x v="37"/>
    <x v="2"/>
    <x v="3"/>
    <n v="480"/>
    <n v="324"/>
    <n v="601"/>
    <n v="594"/>
    <n v="7"/>
    <n v="13.8"/>
    <n v="156"/>
    <n v="0.32500000000000001"/>
    <n v="0.88608974358974368"/>
    <n v="0.98835274542429286"/>
    <n v="0.28462500000000007"/>
  </r>
  <r>
    <n v="457"/>
    <x v="38"/>
    <x v="0"/>
    <x v="0"/>
    <n v="480"/>
    <n v="87"/>
    <n v="1785"/>
    <n v="1705"/>
    <n v="80"/>
    <n v="12"/>
    <n v="393"/>
    <n v="0.81874999999999998"/>
    <n v="0.90839694656488545"/>
    <n v="0.9551820728291317"/>
    <n v="0.71041666666666659"/>
  </r>
  <r>
    <n v="458"/>
    <x v="38"/>
    <x v="0"/>
    <x v="1"/>
    <n v="480"/>
    <n v="45"/>
    <n v="1839"/>
    <n v="1805"/>
    <n v="34"/>
    <n v="12.6"/>
    <n v="435"/>
    <n v="0.90625"/>
    <n v="0.88779310344827578"/>
    <n v="0.98151169113648717"/>
    <n v="0.78968749999999988"/>
  </r>
  <r>
    <n v="459"/>
    <x v="38"/>
    <x v="0"/>
    <x v="2"/>
    <n v="480"/>
    <n v="72"/>
    <n v="1650"/>
    <n v="1576"/>
    <n v="74"/>
    <n v="13.2"/>
    <n v="408"/>
    <n v="0.85"/>
    <n v="0.88970588235294112"/>
    <n v="0.9551515151515152"/>
    <n v="0.72233333333333338"/>
  </r>
  <r>
    <n v="460"/>
    <x v="38"/>
    <x v="0"/>
    <x v="3"/>
    <n v="480"/>
    <n v="40"/>
    <n v="1457"/>
    <n v="1441"/>
    <n v="16"/>
    <n v="13.8"/>
    <n v="440"/>
    <n v="0.91666666666666663"/>
    <n v="0.76161363636363644"/>
    <n v="0.98901853122855177"/>
    <n v="0.69047916666666664"/>
  </r>
  <r>
    <n v="461"/>
    <x v="38"/>
    <x v="1"/>
    <x v="0"/>
    <n v="480"/>
    <n v="63"/>
    <n v="1987"/>
    <n v="1902"/>
    <n v="85"/>
    <n v="12"/>
    <n v="417"/>
    <n v="0.86875000000000002"/>
    <n v="0.95299760191846528"/>
    <n v="0.95722194262707594"/>
    <n v="0.79249999999999998"/>
  </r>
  <r>
    <n v="462"/>
    <x v="38"/>
    <x v="1"/>
    <x v="1"/>
    <n v="480"/>
    <n v="0"/>
    <n v="2167"/>
    <n v="2050"/>
    <n v="117"/>
    <n v="12.6"/>
    <n v="480"/>
    <n v="1"/>
    <n v="0.94806250000000003"/>
    <n v="0.94600830641439781"/>
    <n v="0.89687500000000009"/>
  </r>
  <r>
    <n v="463"/>
    <x v="38"/>
    <x v="1"/>
    <x v="2"/>
    <n v="480"/>
    <n v="0"/>
    <n v="2006"/>
    <n v="1958"/>
    <n v="48"/>
    <n v="13.2"/>
    <n v="480"/>
    <n v="1"/>
    <n v="0.91941666666666655"/>
    <n v="0.97607178464606181"/>
    <n v="0.89741666666666653"/>
  </r>
  <r>
    <n v="464"/>
    <x v="38"/>
    <x v="1"/>
    <x v="3"/>
    <n v="480"/>
    <n v="61"/>
    <n v="1721"/>
    <n v="1699"/>
    <n v="22"/>
    <n v="13.8"/>
    <n v="419"/>
    <n v="0.87291666666666667"/>
    <n v="0.94470167064439148"/>
    <n v="0.98721673445671121"/>
    <n v="0.81410416666666674"/>
  </r>
  <r>
    <n v="465"/>
    <x v="38"/>
    <x v="2"/>
    <x v="0"/>
    <n v="480"/>
    <n v="101"/>
    <n v="1792"/>
    <n v="1691"/>
    <n v="101"/>
    <n v="12"/>
    <n v="379"/>
    <n v="0.7895833333333333"/>
    <n v="0.94564643799472292"/>
    <n v="0.9436383928571429"/>
    <n v="0.70458333333333334"/>
  </r>
  <r>
    <n v="466"/>
    <x v="38"/>
    <x v="2"/>
    <x v="1"/>
    <n v="480"/>
    <n v="0"/>
    <n v="1916"/>
    <n v="1891"/>
    <n v="25"/>
    <n v="12.6"/>
    <n v="480"/>
    <n v="1"/>
    <n v="0.83824999999999994"/>
    <n v="0.98695198329853862"/>
    <n v="0.8273124999999999"/>
  </r>
  <r>
    <n v="467"/>
    <x v="38"/>
    <x v="2"/>
    <x v="2"/>
    <n v="480"/>
    <n v="0"/>
    <n v="1751"/>
    <n v="1693"/>
    <n v="58"/>
    <n v="13.2"/>
    <n v="480"/>
    <n v="1"/>
    <n v="0.8025416666666666"/>
    <n v="0.96687607081667615"/>
    <n v="0.77595833333333319"/>
  </r>
  <r>
    <n v="468"/>
    <x v="38"/>
    <x v="2"/>
    <x v="3"/>
    <n v="480"/>
    <n v="7"/>
    <n v="2002"/>
    <n v="1906"/>
    <n v="96"/>
    <n v="13.8"/>
    <n v="473"/>
    <n v="0.98541666666666672"/>
    <n v="0.9734883720930233"/>
    <n v="0.95204795204795201"/>
    <n v="0.91329166666666672"/>
  </r>
  <r>
    <n v="469"/>
    <x v="39"/>
    <x v="0"/>
    <x v="0"/>
    <n v="480"/>
    <n v="16"/>
    <n v="1809"/>
    <n v="1768"/>
    <n v="41"/>
    <n v="12"/>
    <n v="464"/>
    <n v="0.96666666666666667"/>
    <n v="0.77974137931034482"/>
    <n v="0.9773355444997236"/>
    <n v="0.73666666666666669"/>
  </r>
  <r>
    <n v="470"/>
    <x v="39"/>
    <x v="0"/>
    <x v="1"/>
    <n v="480"/>
    <n v="92"/>
    <n v="1753"/>
    <n v="1722"/>
    <n v="31"/>
    <n v="12.6"/>
    <n v="388"/>
    <n v="0.80833333333333335"/>
    <n v="0.94878865979381444"/>
    <n v="0.98231602966343412"/>
    <n v="0.75337500000000002"/>
  </r>
  <r>
    <n v="471"/>
    <x v="39"/>
    <x v="0"/>
    <x v="2"/>
    <n v="480"/>
    <n v="0"/>
    <n v="1879"/>
    <n v="1832"/>
    <n v="47"/>
    <n v="13.2"/>
    <n v="480"/>
    <n v="1"/>
    <n v="0.86120833333333335"/>
    <n v="0.97498669505055879"/>
    <n v="0.83966666666666667"/>
  </r>
  <r>
    <n v="472"/>
    <x v="39"/>
    <x v="0"/>
    <x v="3"/>
    <n v="480"/>
    <n v="58"/>
    <n v="1491"/>
    <n v="1440"/>
    <n v="51"/>
    <n v="13.8"/>
    <n v="422"/>
    <n v="0.87916666666666665"/>
    <n v="0.81263033175355448"/>
    <n v="0.96579476861167002"/>
    <n v="0.69"/>
  </r>
  <r>
    <n v="473"/>
    <x v="39"/>
    <x v="1"/>
    <x v="0"/>
    <n v="480"/>
    <n v="0"/>
    <n v="2053"/>
    <n v="2002"/>
    <n v="51"/>
    <n v="12"/>
    <n v="480"/>
    <n v="1"/>
    <n v="0.85541666666666671"/>
    <n v="0.97515830491962985"/>
    <n v="0.83416666666666672"/>
  </r>
  <r>
    <n v="474"/>
    <x v="39"/>
    <x v="1"/>
    <x v="1"/>
    <n v="480"/>
    <n v="12"/>
    <n v="2043"/>
    <n v="1964"/>
    <n v="79"/>
    <n v="12.6"/>
    <n v="468"/>
    <n v="0.97499999999999998"/>
    <n v="0.91673076923076924"/>
    <n v="0.96133137542829172"/>
    <n v="0.85924999999999996"/>
  </r>
  <r>
    <n v="475"/>
    <x v="39"/>
    <x v="1"/>
    <x v="2"/>
    <n v="480"/>
    <n v="173"/>
    <n v="1203"/>
    <n v="1147"/>
    <n v="56"/>
    <n v="13.2"/>
    <n v="307"/>
    <n v="0.63958333333333328"/>
    <n v="0.86208469055374581"/>
    <n v="0.9534497090606816"/>
    <n v="0.52570833333333311"/>
  </r>
  <r>
    <n v="476"/>
    <x v="39"/>
    <x v="1"/>
    <x v="3"/>
    <n v="480"/>
    <n v="46"/>
    <n v="1612"/>
    <n v="1535"/>
    <n v="77"/>
    <n v="13.8"/>
    <n v="434"/>
    <n v="0.90416666666666667"/>
    <n v="0.85428571428571431"/>
    <n v="0.95223325062034736"/>
    <n v="0.7355208333333334"/>
  </r>
  <r>
    <n v="477"/>
    <x v="39"/>
    <x v="2"/>
    <x v="0"/>
    <n v="480"/>
    <n v="0"/>
    <n v="1908"/>
    <n v="1799"/>
    <n v="109"/>
    <n v="12"/>
    <n v="480"/>
    <n v="1"/>
    <n v="0.79500000000000004"/>
    <n v="0.94287211740041932"/>
    <n v="0.74958333333333338"/>
  </r>
  <r>
    <n v="478"/>
    <x v="39"/>
    <x v="2"/>
    <x v="1"/>
    <n v="480"/>
    <n v="0"/>
    <n v="2012"/>
    <n v="1934"/>
    <n v="78"/>
    <n v="12.6"/>
    <n v="480"/>
    <n v="1"/>
    <n v="0.88024999999999998"/>
    <n v="0.96123260437375746"/>
    <n v="0.84612500000000002"/>
  </r>
  <r>
    <n v="479"/>
    <x v="39"/>
    <x v="2"/>
    <x v="2"/>
    <n v="480"/>
    <n v="14"/>
    <n v="1866"/>
    <n v="1831"/>
    <n v="35"/>
    <n v="13.2"/>
    <n v="466"/>
    <n v="0.97083333333333333"/>
    <n v="0.88094420600858359"/>
    <n v="0.9812433011789925"/>
    <n v="0.83920833333333322"/>
  </r>
  <r>
    <n v="480"/>
    <x v="39"/>
    <x v="2"/>
    <x v="3"/>
    <n v="480"/>
    <n v="78"/>
    <n v="1425"/>
    <n v="1345"/>
    <n v="80"/>
    <n v="13.8"/>
    <n v="402"/>
    <n v="0.83750000000000002"/>
    <n v="0.81529850746268662"/>
    <n v="0.94385964912280707"/>
    <n v="0.64447916666666671"/>
  </r>
  <r>
    <n v="481"/>
    <x v="40"/>
    <x v="0"/>
    <x v="0"/>
    <n v="480"/>
    <n v="36"/>
    <n v="1949"/>
    <n v="1848"/>
    <n v="101"/>
    <n v="12"/>
    <n v="444"/>
    <n v="0.92500000000000004"/>
    <n v="0.87792792792792795"/>
    <n v="0.948178553104156"/>
    <n v="0.77"/>
  </r>
  <r>
    <n v="482"/>
    <x v="40"/>
    <x v="0"/>
    <x v="1"/>
    <n v="480"/>
    <n v="7"/>
    <n v="1802"/>
    <n v="1706"/>
    <n v="96"/>
    <n v="12.6"/>
    <n v="473"/>
    <n v="0.98541666666666672"/>
    <n v="0.80004228329809723"/>
    <n v="0.94672586015538296"/>
    <n v="0.74637500000000012"/>
  </r>
  <r>
    <n v="483"/>
    <x v="40"/>
    <x v="0"/>
    <x v="2"/>
    <n v="480"/>
    <n v="92"/>
    <n v="1644"/>
    <n v="1576"/>
    <n v="68"/>
    <n v="13.2"/>
    <n v="388"/>
    <n v="0.80833333333333335"/>
    <n v="0.9321649484536082"/>
    <n v="0.95863746958637475"/>
    <n v="0.72233333333333327"/>
  </r>
  <r>
    <n v="484"/>
    <x v="40"/>
    <x v="0"/>
    <x v="3"/>
    <n v="480"/>
    <n v="8"/>
    <n v="1583"/>
    <n v="1529"/>
    <n v="54"/>
    <n v="13.8"/>
    <n v="472"/>
    <n v="0.98333333333333328"/>
    <n v="0.77137711864406788"/>
    <n v="0.96588755527479464"/>
    <n v="0.73264583333333333"/>
  </r>
  <r>
    <n v="485"/>
    <x v="40"/>
    <x v="1"/>
    <x v="0"/>
    <n v="480"/>
    <n v="10"/>
    <n v="1891"/>
    <n v="1787"/>
    <n v="104"/>
    <n v="12"/>
    <n v="470"/>
    <n v="0.97916666666666663"/>
    <n v="0.80468085106382981"/>
    <n v="0.94500264410364887"/>
    <n v="0.74458333333333337"/>
  </r>
  <r>
    <n v="486"/>
    <x v="40"/>
    <x v="1"/>
    <x v="1"/>
    <n v="480"/>
    <n v="5"/>
    <n v="1949"/>
    <n v="1888"/>
    <n v="61"/>
    <n v="12.6"/>
    <n v="475"/>
    <n v="0.98958333333333337"/>
    <n v="0.8616631578947368"/>
    <n v="0.96870189840944076"/>
    <n v="0.82600000000000007"/>
  </r>
  <r>
    <n v="487"/>
    <x v="40"/>
    <x v="1"/>
    <x v="2"/>
    <n v="480"/>
    <n v="47"/>
    <n v="1754"/>
    <n v="1657"/>
    <n v="97"/>
    <n v="13.2"/>
    <n v="433"/>
    <n v="0.90208333333333335"/>
    <n v="0.8911778290993071"/>
    <n v="0.94469783352337511"/>
    <n v="0.75945833333333324"/>
  </r>
  <r>
    <n v="488"/>
    <x v="40"/>
    <x v="1"/>
    <x v="3"/>
    <n v="480"/>
    <n v="72"/>
    <n v="1395"/>
    <n v="1380"/>
    <n v="15"/>
    <n v="13.8"/>
    <n v="408"/>
    <n v="0.85"/>
    <n v="0.78639705882352939"/>
    <n v="0.989247311827957"/>
    <n v="0.66125"/>
  </r>
  <r>
    <n v="489"/>
    <x v="40"/>
    <x v="2"/>
    <x v="0"/>
    <n v="480"/>
    <n v="58"/>
    <n v="1636"/>
    <n v="1570"/>
    <n v="66"/>
    <n v="12"/>
    <n v="422"/>
    <n v="0.87916666666666665"/>
    <n v="0.77535545023696684"/>
    <n v="0.95965770171149145"/>
    <n v="0.65416666666666667"/>
  </r>
  <r>
    <n v="490"/>
    <x v="40"/>
    <x v="2"/>
    <x v="1"/>
    <n v="480"/>
    <n v="32"/>
    <n v="1792"/>
    <n v="1707"/>
    <n v="85"/>
    <n v="12.6"/>
    <n v="448"/>
    <n v="0.93333333333333335"/>
    <n v="0.84000000000000008"/>
    <n v="0.9525669642857143"/>
    <n v="0.7468125000000001"/>
  </r>
  <r>
    <n v="491"/>
    <x v="40"/>
    <x v="2"/>
    <x v="2"/>
    <n v="480"/>
    <n v="0"/>
    <n v="2024"/>
    <n v="1980"/>
    <n v="44"/>
    <n v="13.2"/>
    <n v="480"/>
    <n v="1"/>
    <n v="0.92766666666666664"/>
    <n v="0.97826086956521741"/>
    <n v="0.90749999999999997"/>
  </r>
  <r>
    <n v="492"/>
    <x v="40"/>
    <x v="2"/>
    <x v="3"/>
    <n v="480"/>
    <n v="21"/>
    <n v="1655"/>
    <n v="1636"/>
    <n v="19"/>
    <n v="13.8"/>
    <n v="459"/>
    <n v="0.95625000000000004"/>
    <n v="0.82930283224400869"/>
    <n v="0.9885196374622357"/>
    <n v="0.78391666666666682"/>
  </r>
  <r>
    <n v="493"/>
    <x v="41"/>
    <x v="0"/>
    <x v="0"/>
    <n v="480"/>
    <n v="247"/>
    <n v="1071"/>
    <n v="1046"/>
    <n v="25"/>
    <n v="12"/>
    <n v="233"/>
    <n v="0.48541666666666666"/>
    <n v="0.91931330472103001"/>
    <n v="0.97665732959850604"/>
    <n v="0.43583333333333329"/>
  </r>
  <r>
    <n v="494"/>
    <x v="41"/>
    <x v="0"/>
    <x v="1"/>
    <n v="480"/>
    <n v="174"/>
    <n v="1197"/>
    <n v="1165"/>
    <n v="32"/>
    <n v="12.6"/>
    <n v="306"/>
    <n v="0.63749999999999996"/>
    <n v="0.82147058823529406"/>
    <n v="0.97326649958228906"/>
    <n v="0.50968749999999996"/>
  </r>
  <r>
    <n v="495"/>
    <x v="41"/>
    <x v="0"/>
    <x v="2"/>
    <n v="480"/>
    <n v="0"/>
    <n v="1858"/>
    <n v="1816"/>
    <n v="42"/>
    <n v="13.2"/>
    <n v="480"/>
    <n v="1"/>
    <n v="0.85158333333333325"/>
    <n v="0.9773950484391819"/>
    <n v="0.83233333333333326"/>
  </r>
  <r>
    <n v="496"/>
    <x v="41"/>
    <x v="0"/>
    <x v="3"/>
    <n v="480"/>
    <n v="97"/>
    <n v="1306"/>
    <n v="1230"/>
    <n v="76"/>
    <n v="13.8"/>
    <n v="383"/>
    <n v="0.79791666666666672"/>
    <n v="0.7842819843342036"/>
    <n v="0.94180704441041352"/>
    <n v="0.58937499999999998"/>
  </r>
  <r>
    <n v="497"/>
    <x v="41"/>
    <x v="1"/>
    <x v="0"/>
    <n v="480"/>
    <n v="42"/>
    <n v="1933"/>
    <n v="1827"/>
    <n v="106"/>
    <n v="12"/>
    <n v="438"/>
    <n v="0.91249999999999998"/>
    <n v="0.88264840182648396"/>
    <n v="0.94516295913088466"/>
    <n v="0.76124999999999987"/>
  </r>
  <r>
    <n v="498"/>
    <x v="41"/>
    <x v="1"/>
    <x v="1"/>
    <n v="480"/>
    <n v="25"/>
    <n v="1825"/>
    <n v="1727"/>
    <n v="98"/>
    <n v="12.6"/>
    <n v="455"/>
    <n v="0.94791666666666663"/>
    <n v="0.84230769230769231"/>
    <n v="0.94630136986301372"/>
    <n v="0.75556250000000003"/>
  </r>
  <r>
    <n v="499"/>
    <x v="41"/>
    <x v="1"/>
    <x v="2"/>
    <n v="480"/>
    <n v="62"/>
    <n v="1477"/>
    <n v="1408"/>
    <n v="69"/>
    <n v="13.2"/>
    <n v="418"/>
    <n v="0.87083333333333335"/>
    <n v="0.77736842105263149"/>
    <n v="0.95328368314150302"/>
    <n v="0.6453333333333332"/>
  </r>
  <r>
    <n v="500"/>
    <x v="41"/>
    <x v="1"/>
    <x v="3"/>
    <n v="480"/>
    <n v="7"/>
    <n v="1824"/>
    <n v="1767"/>
    <n v="57"/>
    <n v="13.8"/>
    <n v="473"/>
    <n v="0.98541666666666672"/>
    <n v="0.88693446088794925"/>
    <n v="0.96875"/>
    <n v="0.84668750000000004"/>
  </r>
  <r>
    <n v="501"/>
    <x v="41"/>
    <x v="2"/>
    <x v="0"/>
    <n v="480"/>
    <n v="0"/>
    <n v="1864"/>
    <n v="1795"/>
    <n v="69"/>
    <n v="12"/>
    <n v="480"/>
    <n v="1"/>
    <n v="0.77666666666666662"/>
    <n v="0.96298283261802575"/>
    <n v="0.74791666666666667"/>
  </r>
  <r>
    <n v="502"/>
    <x v="41"/>
    <x v="2"/>
    <x v="1"/>
    <n v="480"/>
    <n v="136"/>
    <n v="1351"/>
    <n v="1337"/>
    <n v="14"/>
    <n v="12.6"/>
    <n v="344"/>
    <n v="0.71666666666666667"/>
    <n v="0.82473837209302314"/>
    <n v="0.98963730569948183"/>
    <n v="0.58493749999999989"/>
  </r>
  <r>
    <n v="503"/>
    <x v="41"/>
    <x v="2"/>
    <x v="2"/>
    <n v="480"/>
    <n v="189"/>
    <n v="1057"/>
    <n v="1043"/>
    <n v="14"/>
    <n v="13.2"/>
    <n v="291"/>
    <n v="0.60624999999999996"/>
    <n v="0.799106529209622"/>
    <n v="0.98675496688741726"/>
    <n v="0.4780416666666667"/>
  </r>
  <r>
    <n v="504"/>
    <x v="41"/>
    <x v="2"/>
    <x v="3"/>
    <n v="480"/>
    <n v="30"/>
    <n v="1722"/>
    <n v="1680"/>
    <n v="42"/>
    <n v="13.8"/>
    <n v="450"/>
    <n v="0.9375"/>
    <n v="0.88013333333333343"/>
    <n v="0.97560975609756095"/>
    <n v="0.80500000000000005"/>
  </r>
  <r>
    <n v="505"/>
    <x v="42"/>
    <x v="0"/>
    <x v="0"/>
    <n v="480"/>
    <n v="90"/>
    <n v="1667"/>
    <n v="1632"/>
    <n v="35"/>
    <n v="12"/>
    <n v="390"/>
    <n v="0.8125"/>
    <n v="0.85487179487179488"/>
    <n v="0.97900419916016801"/>
    <n v="0.68"/>
  </r>
  <r>
    <n v="506"/>
    <x v="42"/>
    <x v="0"/>
    <x v="1"/>
    <n v="480"/>
    <n v="8"/>
    <n v="2111"/>
    <n v="2004"/>
    <n v="107"/>
    <n v="12.6"/>
    <n v="472"/>
    <n v="0.98333333333333328"/>
    <n v="0.93921610169491521"/>
    <n v="0.94931312174324967"/>
    <n v="0.87675000000000003"/>
  </r>
  <r>
    <n v="507"/>
    <x v="42"/>
    <x v="0"/>
    <x v="2"/>
    <n v="480"/>
    <n v="32"/>
    <n v="1680"/>
    <n v="1646"/>
    <n v="34"/>
    <n v="13.2"/>
    <n v="448"/>
    <n v="0.93333333333333335"/>
    <n v="0.82499999999999996"/>
    <n v="0.97976190476190472"/>
    <n v="0.75441666666666662"/>
  </r>
  <r>
    <n v="508"/>
    <x v="42"/>
    <x v="0"/>
    <x v="3"/>
    <n v="480"/>
    <n v="0"/>
    <n v="1789"/>
    <n v="1728"/>
    <n v="61"/>
    <n v="13.8"/>
    <n v="480"/>
    <n v="1"/>
    <n v="0.85722916666666671"/>
    <n v="0.96590273896031298"/>
    <n v="0.82799999999999996"/>
  </r>
  <r>
    <n v="509"/>
    <x v="42"/>
    <x v="1"/>
    <x v="0"/>
    <n v="480"/>
    <n v="33"/>
    <n v="2099"/>
    <n v="2038"/>
    <n v="61"/>
    <n v="12"/>
    <n v="447"/>
    <n v="0.93125000000000002"/>
    <n v="0.93914988814317668"/>
    <n v="0.97093854216293474"/>
    <n v="0.84916666666666663"/>
  </r>
  <r>
    <n v="510"/>
    <x v="42"/>
    <x v="1"/>
    <x v="1"/>
    <n v="480"/>
    <n v="7"/>
    <n v="2173"/>
    <n v="2077"/>
    <n v="96"/>
    <n v="12.6"/>
    <n v="473"/>
    <n v="0.98541666666666672"/>
    <n v="0.96475687103594077"/>
    <n v="0.95582144500690291"/>
    <n v="0.90868749999999998"/>
  </r>
  <r>
    <n v="511"/>
    <x v="42"/>
    <x v="1"/>
    <x v="2"/>
    <n v="480"/>
    <n v="10"/>
    <n v="1681"/>
    <n v="1610"/>
    <n v="71"/>
    <n v="13.2"/>
    <n v="470"/>
    <n v="0.97916666666666663"/>
    <n v="0.78685106382978709"/>
    <n v="0.9577632361689471"/>
    <n v="0.73791666666666655"/>
  </r>
  <r>
    <n v="512"/>
    <x v="42"/>
    <x v="1"/>
    <x v="3"/>
    <n v="480"/>
    <n v="93"/>
    <n v="1399"/>
    <n v="1347"/>
    <n v="52"/>
    <n v="13.8"/>
    <n v="387"/>
    <n v="0.80625000000000002"/>
    <n v="0.8314470284237726"/>
    <n v="0.96283059328091491"/>
    <n v="0.6454375"/>
  </r>
  <r>
    <n v="513"/>
    <x v="42"/>
    <x v="2"/>
    <x v="0"/>
    <n v="480"/>
    <n v="46"/>
    <n v="1955"/>
    <n v="1929"/>
    <n v="26"/>
    <n v="12"/>
    <n v="434"/>
    <n v="0.90416666666666667"/>
    <n v="0.90092165898617516"/>
    <n v="0.98670076726342715"/>
    <n v="0.80375000000000008"/>
  </r>
  <r>
    <n v="514"/>
    <x v="42"/>
    <x v="2"/>
    <x v="1"/>
    <n v="480"/>
    <n v="79"/>
    <n v="1450"/>
    <n v="1406"/>
    <n v="44"/>
    <n v="12.6"/>
    <n v="401"/>
    <n v="0.8354166666666667"/>
    <n v="0.75935162094763087"/>
    <n v="0.96965517241379307"/>
    <n v="0.61512500000000003"/>
  </r>
  <r>
    <n v="515"/>
    <x v="42"/>
    <x v="2"/>
    <x v="2"/>
    <n v="480"/>
    <n v="0"/>
    <n v="2077"/>
    <n v="1999"/>
    <n v="78"/>
    <n v="13.2"/>
    <n v="480"/>
    <n v="1"/>
    <n v="0.95195833333333324"/>
    <n v="0.96244583533943184"/>
    <n v="0.91620833333333318"/>
  </r>
  <r>
    <n v="516"/>
    <x v="42"/>
    <x v="2"/>
    <x v="3"/>
    <n v="480"/>
    <n v="95"/>
    <n v="1340"/>
    <n v="1268"/>
    <n v="72"/>
    <n v="13.8"/>
    <n v="385"/>
    <n v="0.80208333333333337"/>
    <n v="0.80051948051948052"/>
    <n v="0.94626865671641791"/>
    <n v="0.60758333333333336"/>
  </r>
  <r>
    <n v="517"/>
    <x v="43"/>
    <x v="0"/>
    <x v="0"/>
    <n v="480"/>
    <n v="159"/>
    <n v="1403"/>
    <n v="1330"/>
    <n v="73"/>
    <n v="12"/>
    <n v="321"/>
    <n v="0.66874999999999996"/>
    <n v="0.87414330218068537"/>
    <n v="0.94796863863150393"/>
    <n v="0.5541666666666667"/>
  </r>
  <r>
    <n v="518"/>
    <x v="43"/>
    <x v="0"/>
    <x v="1"/>
    <n v="480"/>
    <n v="7"/>
    <n v="2126"/>
    <n v="2054"/>
    <n v="72"/>
    <n v="12.6"/>
    <n v="473"/>
    <n v="0.98541666666666672"/>
    <n v="0.94389006342494708"/>
    <n v="0.96613358419567263"/>
    <n v="0.89862500000000001"/>
  </r>
  <r>
    <n v="519"/>
    <x v="43"/>
    <x v="0"/>
    <x v="2"/>
    <n v="480"/>
    <n v="7"/>
    <n v="1631"/>
    <n v="1593"/>
    <n v="38"/>
    <n v="13.2"/>
    <n v="473"/>
    <n v="0.98541666666666672"/>
    <n v="0.75860465116279063"/>
    <n v="0.97670141017780499"/>
    <n v="0.73012499999999991"/>
  </r>
  <r>
    <n v="520"/>
    <x v="43"/>
    <x v="0"/>
    <x v="3"/>
    <n v="480"/>
    <n v="0"/>
    <n v="2034"/>
    <n v="1916"/>
    <n v="118"/>
    <n v="13.8"/>
    <n v="480"/>
    <n v="1"/>
    <n v="0.97462500000000007"/>
    <n v="0.94198623402163228"/>
    <n v="0.91808333333333347"/>
  </r>
  <r>
    <n v="521"/>
    <x v="43"/>
    <x v="1"/>
    <x v="0"/>
    <n v="480"/>
    <n v="79"/>
    <n v="1864"/>
    <n v="1821"/>
    <n v="43"/>
    <n v="12"/>
    <n v="401"/>
    <n v="0.8354166666666667"/>
    <n v="0.92967581047381542"/>
    <n v="0.97693133047210301"/>
    <n v="0.75874999999999992"/>
  </r>
  <r>
    <n v="522"/>
    <x v="43"/>
    <x v="1"/>
    <x v="1"/>
    <n v="480"/>
    <n v="32"/>
    <n v="1937"/>
    <n v="1906"/>
    <n v="31"/>
    <n v="12.6"/>
    <n v="448"/>
    <n v="0.93333333333333335"/>
    <n v="0.90796874999999999"/>
    <n v="0.98399586990191013"/>
    <n v="0.83387499999999992"/>
  </r>
  <r>
    <n v="523"/>
    <x v="43"/>
    <x v="1"/>
    <x v="2"/>
    <n v="480"/>
    <n v="7"/>
    <n v="1764"/>
    <n v="1699"/>
    <n v="65"/>
    <n v="13.2"/>
    <n v="473"/>
    <n v="0.98541666666666672"/>
    <n v="0.82046511627906971"/>
    <n v="0.96315192743764177"/>
    <n v="0.77870833333333334"/>
  </r>
  <r>
    <n v="524"/>
    <x v="43"/>
    <x v="1"/>
    <x v="3"/>
    <n v="480"/>
    <n v="24"/>
    <n v="1832"/>
    <n v="1732"/>
    <n v="100"/>
    <n v="13.8"/>
    <n v="456"/>
    <n v="0.95"/>
    <n v="0.92403508771929832"/>
    <n v="0.94541484716157209"/>
    <n v="0.82991666666666675"/>
  </r>
  <r>
    <n v="525"/>
    <x v="43"/>
    <x v="2"/>
    <x v="0"/>
    <n v="480"/>
    <n v="0"/>
    <n v="2016"/>
    <n v="1986"/>
    <n v="30"/>
    <n v="12"/>
    <n v="480"/>
    <n v="1"/>
    <n v="0.84"/>
    <n v="0.98511904761904767"/>
    <n v="0.82750000000000001"/>
  </r>
  <r>
    <n v="526"/>
    <x v="43"/>
    <x v="2"/>
    <x v="1"/>
    <n v="480"/>
    <n v="0"/>
    <n v="2062"/>
    <n v="1980"/>
    <n v="82"/>
    <n v="12.6"/>
    <n v="480"/>
    <n v="1"/>
    <n v="0.90212500000000007"/>
    <n v="0.96023278370514065"/>
    <n v="0.86625000000000008"/>
  </r>
  <r>
    <n v="527"/>
    <x v="43"/>
    <x v="2"/>
    <x v="2"/>
    <n v="480"/>
    <n v="0"/>
    <n v="1753"/>
    <n v="1734"/>
    <n v="19"/>
    <n v="13.2"/>
    <n v="480"/>
    <n v="1"/>
    <n v="0.80345833333333327"/>
    <n v="0.98916143753565322"/>
    <n v="0.79474999999999996"/>
  </r>
  <r>
    <n v="528"/>
    <x v="43"/>
    <x v="2"/>
    <x v="3"/>
    <n v="480"/>
    <n v="104"/>
    <n v="1245"/>
    <n v="1231"/>
    <n v="14"/>
    <n v="13.8"/>
    <n v="376"/>
    <n v="0.78333333333333333"/>
    <n v="0.76156914893617023"/>
    <n v="0.98875502008032123"/>
    <n v="0.58985416666666668"/>
  </r>
  <r>
    <n v="529"/>
    <x v="44"/>
    <x v="0"/>
    <x v="0"/>
    <n v="480"/>
    <n v="10"/>
    <n v="1784"/>
    <n v="1714"/>
    <n v="70"/>
    <n v="12"/>
    <n v="470"/>
    <n v="0.97916666666666663"/>
    <n v="0.75914893617021273"/>
    <n v="0.96076233183856508"/>
    <n v="0.71416666666666662"/>
  </r>
  <r>
    <n v="530"/>
    <x v="44"/>
    <x v="0"/>
    <x v="1"/>
    <n v="480"/>
    <n v="160"/>
    <n v="1274"/>
    <n v="1227"/>
    <n v="47"/>
    <n v="12.6"/>
    <n v="320"/>
    <n v="0.66666666666666663"/>
    <n v="0.83606249999999993"/>
    <n v="0.96310832025117743"/>
    <n v="0.53681250000000003"/>
  </r>
  <r>
    <n v="531"/>
    <x v="44"/>
    <x v="0"/>
    <x v="2"/>
    <n v="480"/>
    <n v="0"/>
    <n v="1850"/>
    <n v="1755"/>
    <n v="95"/>
    <n v="13.2"/>
    <n v="480"/>
    <n v="1"/>
    <n v="0.84791666666666665"/>
    <n v="0.94864864864864862"/>
    <n v="0.80437499999999995"/>
  </r>
  <r>
    <n v="532"/>
    <x v="44"/>
    <x v="0"/>
    <x v="3"/>
    <n v="480"/>
    <n v="76"/>
    <n v="1693"/>
    <n v="1668"/>
    <n v="25"/>
    <n v="13.8"/>
    <n v="404"/>
    <n v="0.84166666666666667"/>
    <n v="0.96383663366336636"/>
    <n v="0.98523331364441824"/>
    <n v="0.79925000000000002"/>
  </r>
  <r>
    <n v="533"/>
    <x v="44"/>
    <x v="1"/>
    <x v="0"/>
    <n v="480"/>
    <n v="5"/>
    <n v="1896"/>
    <n v="1806"/>
    <n v="90"/>
    <n v="12"/>
    <n v="475"/>
    <n v="0.98958333333333337"/>
    <n v="0.7983157894736842"/>
    <n v="0.95253164556962022"/>
    <n v="0.75250000000000006"/>
  </r>
  <r>
    <n v="534"/>
    <x v="44"/>
    <x v="1"/>
    <x v="1"/>
    <n v="480"/>
    <n v="0"/>
    <n v="1973"/>
    <n v="1910"/>
    <n v="63"/>
    <n v="12.6"/>
    <n v="480"/>
    <n v="1"/>
    <n v="0.8631875"/>
    <n v="0.96806893056259502"/>
    <n v="0.83562499999999995"/>
  </r>
  <r>
    <n v="535"/>
    <x v="44"/>
    <x v="1"/>
    <x v="2"/>
    <n v="480"/>
    <n v="5"/>
    <n v="1903"/>
    <n v="1808"/>
    <n v="95"/>
    <n v="13.2"/>
    <n v="475"/>
    <n v="0.98958333333333337"/>
    <n v="0.8813894736842105"/>
    <n v="0.95007882291119283"/>
    <n v="0.82866666666666666"/>
  </r>
  <r>
    <n v="536"/>
    <x v="44"/>
    <x v="1"/>
    <x v="3"/>
    <n v="480"/>
    <n v="14"/>
    <n v="1687"/>
    <n v="1636"/>
    <n v="51"/>
    <n v="13.8"/>
    <n v="466"/>
    <n v="0.97083333333333333"/>
    <n v="0.8326394849785409"/>
    <n v="0.96976882039122703"/>
    <n v="0.78391666666666682"/>
  </r>
  <r>
    <n v="537"/>
    <x v="44"/>
    <x v="2"/>
    <x v="0"/>
    <n v="480"/>
    <n v="22"/>
    <n v="2084"/>
    <n v="2044"/>
    <n v="40"/>
    <n v="12"/>
    <n v="458"/>
    <n v="0.95416666666666672"/>
    <n v="0.91004366812227078"/>
    <n v="0.98080614203454897"/>
    <n v="0.85166666666666679"/>
  </r>
  <r>
    <n v="538"/>
    <x v="44"/>
    <x v="2"/>
    <x v="1"/>
    <n v="480"/>
    <n v="56"/>
    <n v="1652"/>
    <n v="1617"/>
    <n v="35"/>
    <n v="12.6"/>
    <n v="424"/>
    <n v="0.8833333333333333"/>
    <n v="0.81820754716981137"/>
    <n v="0.97881355932203384"/>
    <n v="0.70743749999999994"/>
  </r>
  <r>
    <n v="539"/>
    <x v="44"/>
    <x v="2"/>
    <x v="2"/>
    <n v="480"/>
    <n v="52"/>
    <n v="1760"/>
    <n v="1670"/>
    <n v="90"/>
    <n v="13.2"/>
    <n v="428"/>
    <n v="0.89166666666666672"/>
    <n v="0.90467289719626165"/>
    <n v="0.94886363636363635"/>
    <n v="0.76541666666666663"/>
  </r>
  <r>
    <n v="540"/>
    <x v="44"/>
    <x v="2"/>
    <x v="3"/>
    <n v="480"/>
    <n v="13"/>
    <n v="1836"/>
    <n v="1793"/>
    <n v="43"/>
    <n v="13.8"/>
    <n v="467"/>
    <n v="0.97291666666666665"/>
    <n v="0.90423982869379027"/>
    <n v="0.9765795206971678"/>
    <n v="0.8591458333333335"/>
  </r>
  <r>
    <n v="541"/>
    <x v="45"/>
    <x v="0"/>
    <x v="0"/>
    <n v="480"/>
    <n v="0"/>
    <n v="2347"/>
    <n v="2306"/>
    <n v="41"/>
    <n v="12"/>
    <n v="480"/>
    <n v="1"/>
    <n v="0.97791666666666666"/>
    <n v="0.98253089049850872"/>
    <n v="0.96083333333333332"/>
  </r>
  <r>
    <n v="542"/>
    <x v="45"/>
    <x v="0"/>
    <x v="1"/>
    <n v="480"/>
    <n v="154"/>
    <n v="1442"/>
    <n v="1427"/>
    <n v="15"/>
    <n v="12.6"/>
    <n v="326"/>
    <n v="0.6791666666666667"/>
    <n v="0.92889570552147238"/>
    <n v="0.98959778085991679"/>
    <n v="0.62431250000000005"/>
  </r>
  <r>
    <n v="543"/>
    <x v="45"/>
    <x v="0"/>
    <x v="2"/>
    <n v="480"/>
    <n v="120"/>
    <n v="1337"/>
    <n v="1310"/>
    <n v="27"/>
    <n v="13.2"/>
    <n v="360"/>
    <n v="0.75"/>
    <n v="0.81705555555555542"/>
    <n v="0.97980553477935672"/>
    <n v="0.6004166666666666"/>
  </r>
  <r>
    <n v="544"/>
    <x v="45"/>
    <x v="0"/>
    <x v="3"/>
    <n v="480"/>
    <n v="5"/>
    <n v="1608"/>
    <n v="1514"/>
    <n v="94"/>
    <n v="13.8"/>
    <n v="475"/>
    <n v="0.98958333333333337"/>
    <n v="0.77861052631578953"/>
    <n v="0.94154228855721389"/>
    <n v="0.72545833333333343"/>
  </r>
  <r>
    <n v="545"/>
    <x v="45"/>
    <x v="1"/>
    <x v="0"/>
    <n v="480"/>
    <n v="61"/>
    <n v="1848"/>
    <n v="1790"/>
    <n v="58"/>
    <n v="12"/>
    <n v="419"/>
    <n v="0.87291666666666667"/>
    <n v="0.88210023866348453"/>
    <n v="0.9686147186147186"/>
    <n v="0.74583333333333335"/>
  </r>
  <r>
    <n v="546"/>
    <x v="45"/>
    <x v="1"/>
    <x v="1"/>
    <n v="480"/>
    <n v="53"/>
    <n v="1634"/>
    <n v="1567"/>
    <n v="67"/>
    <n v="12.6"/>
    <n v="427"/>
    <n v="0.88958333333333328"/>
    <n v="0.80360655737704911"/>
    <n v="0.95899632802937573"/>
    <n v="0.68556249999999985"/>
  </r>
  <r>
    <n v="547"/>
    <x v="45"/>
    <x v="1"/>
    <x v="2"/>
    <n v="480"/>
    <n v="6"/>
    <n v="1916"/>
    <n v="1816"/>
    <n v="100"/>
    <n v="13.2"/>
    <n v="474"/>
    <n v="0.98750000000000004"/>
    <n v="0.8892827004219408"/>
    <n v="0.94780793319415446"/>
    <n v="0.83233333333333315"/>
  </r>
  <r>
    <n v="548"/>
    <x v="45"/>
    <x v="1"/>
    <x v="3"/>
    <n v="480"/>
    <n v="0"/>
    <n v="1917"/>
    <n v="1866"/>
    <n v="51"/>
    <n v="13.8"/>
    <n v="480"/>
    <n v="1"/>
    <n v="0.91856250000000006"/>
    <n v="0.97339593114240996"/>
    <n v="0.89412500000000006"/>
  </r>
  <r>
    <n v="549"/>
    <x v="45"/>
    <x v="2"/>
    <x v="0"/>
    <n v="480"/>
    <n v="18"/>
    <n v="1747"/>
    <n v="1675"/>
    <n v="72"/>
    <n v="12"/>
    <n v="462"/>
    <n v="0.96250000000000002"/>
    <n v="0.75627705627705633"/>
    <n v="0.95878649112764736"/>
    <n v="0.69791666666666674"/>
  </r>
  <r>
    <n v="550"/>
    <x v="45"/>
    <x v="2"/>
    <x v="1"/>
    <n v="480"/>
    <n v="54"/>
    <n v="1936"/>
    <n v="1861"/>
    <n v="75"/>
    <n v="12.6"/>
    <n v="426"/>
    <n v="0.88749999999999996"/>
    <n v="0.95436619718309856"/>
    <n v="0.96126033057851235"/>
    <n v="0.81418749999999995"/>
  </r>
  <r>
    <n v="551"/>
    <x v="45"/>
    <x v="2"/>
    <x v="2"/>
    <n v="480"/>
    <n v="153"/>
    <n v="1253"/>
    <n v="1232"/>
    <n v="21"/>
    <n v="13.2"/>
    <n v="327"/>
    <n v="0.68125000000000002"/>
    <n v="0.84299694189602437"/>
    <n v="0.98324022346368711"/>
    <n v="0.56466666666666665"/>
  </r>
  <r>
    <n v="552"/>
    <x v="45"/>
    <x v="2"/>
    <x v="3"/>
    <n v="480"/>
    <n v="23"/>
    <n v="1901"/>
    <n v="1807"/>
    <n v="94"/>
    <n v="13.8"/>
    <n v="457"/>
    <n v="0.95208333333333328"/>
    <n v="0.95673960612691478"/>
    <n v="0.9505523408732246"/>
    <n v="0.8658541666666667"/>
  </r>
  <r>
    <n v="553"/>
    <x v="46"/>
    <x v="0"/>
    <x v="0"/>
    <n v="480"/>
    <n v="89"/>
    <n v="1473"/>
    <n v="1405"/>
    <n v="68"/>
    <n v="12"/>
    <n v="391"/>
    <n v="0.81458333333333333"/>
    <n v="0.75345268542199484"/>
    <n v="0.95383570943652407"/>
    <n v="0.58541666666666659"/>
  </r>
  <r>
    <n v="554"/>
    <x v="46"/>
    <x v="0"/>
    <x v="1"/>
    <n v="480"/>
    <n v="8"/>
    <n v="1755"/>
    <n v="1730"/>
    <n v="25"/>
    <n v="12.6"/>
    <n v="472"/>
    <n v="0.98333333333333328"/>
    <n v="0.78082627118644066"/>
    <n v="0.98575498575498577"/>
    <n v="0.75687499999999996"/>
  </r>
  <r>
    <n v="555"/>
    <x v="46"/>
    <x v="0"/>
    <x v="2"/>
    <n v="480"/>
    <n v="87"/>
    <n v="1486"/>
    <n v="1453"/>
    <n v="33"/>
    <n v="13.2"/>
    <n v="393"/>
    <n v="0.81874999999999998"/>
    <n v="0.83185750636132316"/>
    <n v="0.977792732166891"/>
    <n v="0.66595833333333343"/>
  </r>
  <r>
    <n v="556"/>
    <x v="46"/>
    <x v="0"/>
    <x v="3"/>
    <n v="480"/>
    <n v="0"/>
    <n v="1824"/>
    <n v="1729"/>
    <n v="95"/>
    <n v="13.8"/>
    <n v="480"/>
    <n v="1"/>
    <n v="0.874"/>
    <n v="0.94791666666666663"/>
    <n v="0.82847916666666666"/>
  </r>
  <r>
    <n v="557"/>
    <x v="46"/>
    <x v="1"/>
    <x v="0"/>
    <n v="480"/>
    <n v="28"/>
    <n v="1858"/>
    <n v="1831"/>
    <n v="27"/>
    <n v="12"/>
    <n v="452"/>
    <n v="0.94166666666666665"/>
    <n v="0.8221238938053097"/>
    <n v="0.9854682454251884"/>
    <n v="0.76291666666666669"/>
  </r>
  <r>
    <n v="558"/>
    <x v="46"/>
    <x v="1"/>
    <x v="1"/>
    <n v="480"/>
    <n v="0"/>
    <n v="2233"/>
    <n v="2162"/>
    <n v="71"/>
    <n v="12.6"/>
    <n v="480"/>
    <n v="1"/>
    <n v="0.97693750000000001"/>
    <n v="0.96820420958351994"/>
    <n v="0.94587500000000002"/>
  </r>
  <r>
    <n v="559"/>
    <x v="46"/>
    <x v="1"/>
    <x v="2"/>
    <n v="480"/>
    <n v="94"/>
    <n v="1367"/>
    <n v="1314"/>
    <n v="53"/>
    <n v="13.2"/>
    <n v="386"/>
    <n v="0.8041666666666667"/>
    <n v="0.77911917098445582"/>
    <n v="0.96122896854425754"/>
    <n v="0.60224999999999995"/>
  </r>
  <r>
    <n v="560"/>
    <x v="46"/>
    <x v="1"/>
    <x v="3"/>
    <n v="480"/>
    <n v="115"/>
    <n v="1261"/>
    <n v="1241"/>
    <n v="20"/>
    <n v="13.8"/>
    <n v="365"/>
    <n v="0.76041666666666663"/>
    <n v="0.79460273972602735"/>
    <n v="0.98413957176843769"/>
    <n v="0.59464583333333321"/>
  </r>
  <r>
    <n v="561"/>
    <x v="46"/>
    <x v="2"/>
    <x v="0"/>
    <n v="480"/>
    <n v="17"/>
    <n v="2024"/>
    <n v="1996"/>
    <n v="28"/>
    <n v="12"/>
    <n v="463"/>
    <n v="0.96458333333333335"/>
    <n v="0.8742980561555076"/>
    <n v="0.98616600790513831"/>
    <n v="0.83166666666666667"/>
  </r>
  <r>
    <n v="562"/>
    <x v="46"/>
    <x v="2"/>
    <x v="1"/>
    <n v="480"/>
    <n v="0"/>
    <n v="1769"/>
    <n v="1700"/>
    <n v="69"/>
    <n v="12.6"/>
    <n v="480"/>
    <n v="1"/>
    <n v="0.77393749999999994"/>
    <n v="0.96099491237987567"/>
    <n v="0.74375000000000002"/>
  </r>
  <r>
    <n v="563"/>
    <x v="46"/>
    <x v="2"/>
    <x v="2"/>
    <n v="480"/>
    <n v="51"/>
    <n v="1481"/>
    <n v="1430"/>
    <n v="51"/>
    <n v="13.2"/>
    <n v="429"/>
    <n v="0.89375000000000004"/>
    <n v="0.75948717948717948"/>
    <n v="0.96556380823767729"/>
    <n v="0.65541666666666676"/>
  </r>
  <r>
    <n v="564"/>
    <x v="46"/>
    <x v="2"/>
    <x v="3"/>
    <n v="480"/>
    <n v="42"/>
    <n v="1821"/>
    <n v="1730"/>
    <n v="91"/>
    <n v="13.8"/>
    <n v="438"/>
    <n v="0.91249999999999998"/>
    <n v="0.95623287671232893"/>
    <n v="0.95002745744096651"/>
    <n v="0.82895833333333346"/>
  </r>
  <r>
    <n v="565"/>
    <x v="47"/>
    <x v="0"/>
    <x v="0"/>
    <n v="480"/>
    <n v="72"/>
    <n v="1791"/>
    <n v="1741"/>
    <n v="50"/>
    <n v="12"/>
    <n v="408"/>
    <n v="0.85"/>
    <n v="0.87794117647058822"/>
    <n v="0.97208263539921835"/>
    <n v="0.72541666666666671"/>
  </r>
  <r>
    <n v="566"/>
    <x v="47"/>
    <x v="0"/>
    <x v="1"/>
    <n v="480"/>
    <n v="5"/>
    <n v="2095"/>
    <n v="2001"/>
    <n v="94"/>
    <n v="12.6"/>
    <n v="475"/>
    <n v="0.98958333333333337"/>
    <n v="0.92621052631578948"/>
    <n v="0.95513126491646783"/>
    <n v="0.87543750000000009"/>
  </r>
  <r>
    <n v="567"/>
    <x v="47"/>
    <x v="0"/>
    <x v="2"/>
    <n v="480"/>
    <n v="63"/>
    <n v="1530"/>
    <n v="1506"/>
    <n v="24"/>
    <n v="13.2"/>
    <n v="417"/>
    <n v="0.86875000000000002"/>
    <n v="0.80719424460431655"/>
    <n v="0.98431372549019602"/>
    <n v="0.69025000000000003"/>
  </r>
  <r>
    <n v="568"/>
    <x v="47"/>
    <x v="0"/>
    <x v="3"/>
    <n v="480"/>
    <n v="23"/>
    <n v="1790"/>
    <n v="1683"/>
    <n v="107"/>
    <n v="13.8"/>
    <n v="457"/>
    <n v="0.95208333333333328"/>
    <n v="0.90087527352297592"/>
    <n v="0.94022346368715082"/>
    <n v="0.80643749999999992"/>
  </r>
  <r>
    <n v="569"/>
    <x v="47"/>
    <x v="1"/>
    <x v="0"/>
    <n v="480"/>
    <n v="5"/>
    <n v="2263"/>
    <n v="2194"/>
    <n v="69"/>
    <n v="12"/>
    <n v="475"/>
    <n v="0.98958333333333337"/>
    <n v="0.95284210526315793"/>
    <n v="0.96950950066283692"/>
    <n v="0.91416666666666668"/>
  </r>
  <r>
    <n v="570"/>
    <x v="47"/>
    <x v="1"/>
    <x v="1"/>
    <n v="480"/>
    <n v="47"/>
    <n v="1854"/>
    <n v="1747"/>
    <n v="107"/>
    <n v="12.6"/>
    <n v="433"/>
    <n v="0.90208333333333335"/>
    <n v="0.89916859122401838"/>
    <n v="0.94228694714131611"/>
    <n v="0.76431249999999995"/>
  </r>
  <r>
    <n v="571"/>
    <x v="47"/>
    <x v="1"/>
    <x v="2"/>
    <n v="480"/>
    <n v="0"/>
    <n v="1875"/>
    <n v="1800"/>
    <n v="75"/>
    <n v="13.2"/>
    <n v="480"/>
    <n v="1"/>
    <n v="0.859375"/>
    <n v="0.96"/>
    <n v="0.82499999999999996"/>
  </r>
  <r>
    <n v="572"/>
    <x v="47"/>
    <x v="1"/>
    <x v="3"/>
    <n v="480"/>
    <n v="81"/>
    <n v="1384"/>
    <n v="1367"/>
    <n v="17"/>
    <n v="13.8"/>
    <n v="399"/>
    <n v="0.83125000000000004"/>
    <n v="0.79779448621553883"/>
    <n v="0.98771676300578037"/>
    <n v="0.65502083333333339"/>
  </r>
  <r>
    <n v="573"/>
    <x v="47"/>
    <x v="2"/>
    <x v="0"/>
    <n v="480"/>
    <n v="125"/>
    <n v="1493"/>
    <n v="1456"/>
    <n v="37"/>
    <n v="12"/>
    <n v="355"/>
    <n v="0.73958333333333337"/>
    <n v="0.84112676056338032"/>
    <n v="0.97521768251841934"/>
    <n v="0.6066666666666668"/>
  </r>
  <r>
    <n v="574"/>
    <x v="47"/>
    <x v="2"/>
    <x v="1"/>
    <n v="480"/>
    <n v="0"/>
    <n v="1793"/>
    <n v="1737"/>
    <n v="56"/>
    <n v="12.6"/>
    <n v="480"/>
    <n v="1"/>
    <n v="0.78443750000000001"/>
    <n v="0.96876742889012823"/>
    <n v="0.75993749999999993"/>
  </r>
  <r>
    <n v="575"/>
    <x v="47"/>
    <x v="2"/>
    <x v="2"/>
    <n v="480"/>
    <n v="84"/>
    <n v="1592"/>
    <n v="1511"/>
    <n v="81"/>
    <n v="13.2"/>
    <n v="396"/>
    <n v="0.82499999999999996"/>
    <n v="0.88444444444444437"/>
    <n v="0.94912060301507539"/>
    <n v="0.69254166666666661"/>
  </r>
  <r>
    <n v="576"/>
    <x v="47"/>
    <x v="2"/>
    <x v="3"/>
    <n v="480"/>
    <n v="0"/>
    <n v="1794"/>
    <n v="1720"/>
    <n v="74"/>
    <n v="13.8"/>
    <n v="480"/>
    <n v="1"/>
    <n v="0.85962499999999997"/>
    <n v="0.95875139353400218"/>
    <n v="0.8241666666666666"/>
  </r>
  <r>
    <n v="577"/>
    <x v="48"/>
    <x v="0"/>
    <x v="0"/>
    <n v="480"/>
    <n v="95"/>
    <n v="1522"/>
    <n v="1452"/>
    <n v="70"/>
    <n v="12"/>
    <n v="385"/>
    <n v="0.80208333333333337"/>
    <n v="0.7906493506493506"/>
    <n v="0.95400788436268069"/>
    <n v="0.60499999999999998"/>
  </r>
  <r>
    <n v="578"/>
    <x v="48"/>
    <x v="0"/>
    <x v="1"/>
    <n v="480"/>
    <n v="0"/>
    <n v="1927"/>
    <n v="1858"/>
    <n v="69"/>
    <n v="12.6"/>
    <n v="480"/>
    <n v="1"/>
    <n v="0.84306250000000005"/>
    <n v="0.96419304618578106"/>
    <n v="0.81287500000000013"/>
  </r>
  <r>
    <n v="579"/>
    <x v="48"/>
    <x v="0"/>
    <x v="2"/>
    <n v="480"/>
    <n v="302"/>
    <n v="658"/>
    <n v="648"/>
    <n v="10"/>
    <n v="13.2"/>
    <n v="178"/>
    <n v="0.37083333333333335"/>
    <n v="0.81325842696629214"/>
    <n v="0.98480243161094227"/>
    <n v="0.29700000000000004"/>
  </r>
  <r>
    <n v="580"/>
    <x v="48"/>
    <x v="0"/>
    <x v="3"/>
    <n v="480"/>
    <n v="53"/>
    <n v="1484"/>
    <n v="1437"/>
    <n v="47"/>
    <n v="13.8"/>
    <n v="427"/>
    <n v="0.88958333333333328"/>
    <n v="0.79934426229508204"/>
    <n v="0.96832884097035044"/>
    <n v="0.68856250000000008"/>
  </r>
  <r>
    <n v="581"/>
    <x v="48"/>
    <x v="1"/>
    <x v="0"/>
    <n v="480"/>
    <n v="0"/>
    <n v="2252"/>
    <n v="2137"/>
    <n v="115"/>
    <n v="12"/>
    <n v="480"/>
    <n v="1"/>
    <n v="0.93833333333333335"/>
    <n v="0.94893428063943164"/>
    <n v="0.89041666666666675"/>
  </r>
  <r>
    <n v="582"/>
    <x v="48"/>
    <x v="1"/>
    <x v="1"/>
    <n v="480"/>
    <n v="12"/>
    <n v="2094"/>
    <n v="2007"/>
    <n v="87"/>
    <n v="12.6"/>
    <n v="468"/>
    <n v="0.97499999999999998"/>
    <n v="0.93961538461538452"/>
    <n v="0.95845272206303722"/>
    <n v="0.87806249999999986"/>
  </r>
  <r>
    <n v="583"/>
    <x v="48"/>
    <x v="1"/>
    <x v="2"/>
    <n v="480"/>
    <n v="53"/>
    <n v="1734"/>
    <n v="1668"/>
    <n v="66"/>
    <n v="13.2"/>
    <n v="427"/>
    <n v="0.88958333333333328"/>
    <n v="0.89339578454332547"/>
    <n v="0.96193771626297575"/>
    <n v="0.76449999999999985"/>
  </r>
  <r>
    <n v="584"/>
    <x v="48"/>
    <x v="1"/>
    <x v="3"/>
    <n v="480"/>
    <n v="0"/>
    <n v="1593"/>
    <n v="1529"/>
    <n v="64"/>
    <n v="13.8"/>
    <n v="480"/>
    <n v="1"/>
    <n v="0.76331250000000006"/>
    <n v="0.95982423101067171"/>
    <n v="0.73264583333333344"/>
  </r>
  <r>
    <n v="585"/>
    <x v="48"/>
    <x v="2"/>
    <x v="0"/>
    <n v="480"/>
    <n v="10"/>
    <n v="1862"/>
    <n v="1825"/>
    <n v="37"/>
    <n v="12"/>
    <n v="470"/>
    <n v="0.97916666666666663"/>
    <n v="0.79234042553191486"/>
    <n v="0.98012889366272826"/>
    <n v="0.76041666666666663"/>
  </r>
  <r>
    <n v="586"/>
    <x v="48"/>
    <x v="2"/>
    <x v="1"/>
    <n v="480"/>
    <n v="14"/>
    <n v="1910"/>
    <n v="1855"/>
    <n v="55"/>
    <n v="12.6"/>
    <n v="466"/>
    <n v="0.97083333333333333"/>
    <n v="0.86072961373390555"/>
    <n v="0.97120418848167545"/>
    <n v="0.81156249999999996"/>
  </r>
  <r>
    <n v="587"/>
    <x v="48"/>
    <x v="2"/>
    <x v="2"/>
    <n v="480"/>
    <n v="5"/>
    <n v="1654"/>
    <n v="1591"/>
    <n v="63"/>
    <n v="13.2"/>
    <n v="475"/>
    <n v="0.98958333333333337"/>
    <n v="0.76606315789473678"/>
    <n v="0.96191051995163246"/>
    <n v="0.72920833333333335"/>
  </r>
  <r>
    <n v="588"/>
    <x v="48"/>
    <x v="2"/>
    <x v="3"/>
    <n v="480"/>
    <n v="155"/>
    <n v="1156"/>
    <n v="1140"/>
    <n v="16"/>
    <n v="13.8"/>
    <n v="325"/>
    <n v="0.67708333333333337"/>
    <n v="0.81809230769230779"/>
    <n v="0.98615916955017302"/>
    <n v="0.54625000000000001"/>
  </r>
  <r>
    <n v="589"/>
    <x v="49"/>
    <x v="0"/>
    <x v="0"/>
    <n v="480"/>
    <n v="0"/>
    <n v="1870"/>
    <n v="1840"/>
    <n v="30"/>
    <n v="12"/>
    <n v="480"/>
    <n v="1"/>
    <n v="0.77916666666666667"/>
    <n v="0.98395721925133695"/>
    <n v="0.76666666666666672"/>
  </r>
  <r>
    <n v="590"/>
    <x v="49"/>
    <x v="0"/>
    <x v="1"/>
    <n v="480"/>
    <n v="91"/>
    <n v="1680"/>
    <n v="1584"/>
    <n v="96"/>
    <n v="12.6"/>
    <n v="389"/>
    <n v="0.81041666666666667"/>
    <n v="0.90694087403598966"/>
    <n v="0.94285714285714284"/>
    <n v="0.69299999999999995"/>
  </r>
  <r>
    <n v="591"/>
    <x v="49"/>
    <x v="0"/>
    <x v="2"/>
    <n v="480"/>
    <n v="0"/>
    <n v="1828"/>
    <n v="1760"/>
    <n v="68"/>
    <n v="13.2"/>
    <n v="480"/>
    <n v="1"/>
    <n v="0.83783333333333332"/>
    <n v="0.96280087527352298"/>
    <n v="0.80666666666666664"/>
  </r>
  <r>
    <n v="592"/>
    <x v="49"/>
    <x v="0"/>
    <x v="3"/>
    <n v="480"/>
    <n v="0"/>
    <n v="1567"/>
    <n v="1499"/>
    <n v="68"/>
    <n v="13.8"/>
    <n v="480"/>
    <n v="1"/>
    <n v="0.75085416666666671"/>
    <n v="0.95660497766432673"/>
    <n v="0.71827083333333341"/>
  </r>
  <r>
    <n v="593"/>
    <x v="49"/>
    <x v="1"/>
    <x v="0"/>
    <n v="480"/>
    <n v="13"/>
    <n v="1804"/>
    <n v="1700"/>
    <n v="104"/>
    <n v="12"/>
    <n v="467"/>
    <n v="0.97291666666666665"/>
    <n v="0.77259100642398282"/>
    <n v="0.94235033259423506"/>
    <n v="0.70833333333333326"/>
  </r>
  <r>
    <n v="594"/>
    <x v="49"/>
    <x v="1"/>
    <x v="1"/>
    <n v="480"/>
    <n v="13"/>
    <n v="2075"/>
    <n v="1984"/>
    <n v="91"/>
    <n v="12.6"/>
    <n v="467"/>
    <n v="0.97291666666666665"/>
    <n v="0.93308351177730198"/>
    <n v="0.95614457831325306"/>
    <n v="0.8680000000000001"/>
  </r>
  <r>
    <n v="595"/>
    <x v="49"/>
    <x v="1"/>
    <x v="2"/>
    <n v="480"/>
    <n v="185"/>
    <n v="1261"/>
    <n v="1235"/>
    <n v="26"/>
    <n v="13.2"/>
    <n v="295"/>
    <n v="0.61458333333333337"/>
    <n v="0.94040677966101704"/>
    <n v="0.97938144329896903"/>
    <n v="0.56604166666666678"/>
  </r>
  <r>
    <n v="596"/>
    <x v="49"/>
    <x v="1"/>
    <x v="3"/>
    <n v="480"/>
    <n v="11"/>
    <n v="1904"/>
    <n v="1854"/>
    <n v="50"/>
    <n v="13.8"/>
    <n v="469"/>
    <n v="0.9770833333333333"/>
    <n v="0.93373134328358209"/>
    <n v="0.97373949579831931"/>
    <n v="0.88837500000000003"/>
  </r>
  <r>
    <n v="597"/>
    <x v="49"/>
    <x v="2"/>
    <x v="0"/>
    <n v="480"/>
    <n v="29"/>
    <n v="2050"/>
    <n v="2016"/>
    <n v="34"/>
    <n v="12"/>
    <n v="451"/>
    <n v="0.93958333333333333"/>
    <n v="0.90909090909090906"/>
    <n v="0.98341463414634145"/>
    <n v="0.84"/>
  </r>
  <r>
    <n v="598"/>
    <x v="49"/>
    <x v="2"/>
    <x v="1"/>
    <n v="480"/>
    <n v="163"/>
    <n v="1269"/>
    <n v="1248"/>
    <n v="21"/>
    <n v="12.6"/>
    <n v="317"/>
    <n v="0.66041666666666665"/>
    <n v="0.84066246056782334"/>
    <n v="0.98345153664302598"/>
    <n v="0.54599999999999993"/>
  </r>
  <r>
    <n v="599"/>
    <x v="49"/>
    <x v="2"/>
    <x v="2"/>
    <n v="480"/>
    <n v="0"/>
    <n v="2112"/>
    <n v="1998"/>
    <n v="114"/>
    <n v="13.2"/>
    <n v="480"/>
    <n v="1"/>
    <n v="0.96799999999999997"/>
    <n v="0.94602272727272729"/>
    <n v="0.91574999999999995"/>
  </r>
  <r>
    <n v="600"/>
    <x v="49"/>
    <x v="2"/>
    <x v="3"/>
    <n v="480"/>
    <n v="32"/>
    <n v="1621"/>
    <n v="1557"/>
    <n v="64"/>
    <n v="13.8"/>
    <n v="448"/>
    <n v="0.93333333333333335"/>
    <n v="0.83220982142857158"/>
    <n v="0.96051819864281307"/>
    <n v="0.74606250000000007"/>
  </r>
  <r>
    <n v="601"/>
    <x v="50"/>
    <x v="0"/>
    <x v="0"/>
    <n v="480"/>
    <n v="16"/>
    <n v="2044"/>
    <n v="2003"/>
    <n v="41"/>
    <n v="12"/>
    <n v="464"/>
    <n v="0.96666666666666667"/>
    <n v="0.88103448275862073"/>
    <n v="0.97994129158512722"/>
    <n v="0.83458333333333334"/>
  </r>
  <r>
    <n v="602"/>
    <x v="50"/>
    <x v="0"/>
    <x v="1"/>
    <n v="480"/>
    <n v="30"/>
    <n v="1885"/>
    <n v="1842"/>
    <n v="43"/>
    <n v="12.6"/>
    <n v="450"/>
    <n v="0.9375"/>
    <n v="0.87966666666666671"/>
    <n v="0.97718832891246687"/>
    <n v="0.80587500000000001"/>
  </r>
  <r>
    <n v="603"/>
    <x v="50"/>
    <x v="0"/>
    <x v="2"/>
    <n v="480"/>
    <n v="48"/>
    <n v="1696"/>
    <n v="1655"/>
    <n v="41"/>
    <n v="13.2"/>
    <n v="432"/>
    <n v="0.9"/>
    <n v="0.86370370370370364"/>
    <n v="0.97582547169811318"/>
    <n v="0.75854166666666667"/>
  </r>
  <r>
    <n v="604"/>
    <x v="50"/>
    <x v="0"/>
    <x v="3"/>
    <n v="480"/>
    <n v="56"/>
    <n v="1456"/>
    <n v="1408"/>
    <n v="48"/>
    <n v="13.8"/>
    <n v="424"/>
    <n v="0.8833333333333333"/>
    <n v="0.78981132075471694"/>
    <n v="0.96703296703296704"/>
    <n v="0.67466666666666664"/>
  </r>
  <r>
    <n v="605"/>
    <x v="50"/>
    <x v="1"/>
    <x v="0"/>
    <n v="480"/>
    <n v="0"/>
    <n v="2145"/>
    <n v="2065"/>
    <n v="80"/>
    <n v="12"/>
    <n v="480"/>
    <n v="1"/>
    <n v="0.89375000000000004"/>
    <n v="0.96270396270396275"/>
    <n v="0.86041666666666672"/>
  </r>
  <r>
    <n v="606"/>
    <x v="50"/>
    <x v="1"/>
    <x v="1"/>
    <n v="480"/>
    <n v="5"/>
    <n v="1708"/>
    <n v="1618"/>
    <n v="90"/>
    <n v="12.6"/>
    <n v="475"/>
    <n v="0.98958333333333337"/>
    <n v="0.75511578947368418"/>
    <n v="0.9473067915690867"/>
    <n v="0.70787500000000003"/>
  </r>
  <r>
    <n v="607"/>
    <x v="50"/>
    <x v="1"/>
    <x v="2"/>
    <n v="480"/>
    <n v="103"/>
    <n v="1504"/>
    <n v="1445"/>
    <n v="59"/>
    <n v="13.2"/>
    <n v="377"/>
    <n v="0.78541666666666665"/>
    <n v="0.87766578249336868"/>
    <n v="0.96077127659574468"/>
    <n v="0.66229166666666672"/>
  </r>
  <r>
    <n v="608"/>
    <x v="50"/>
    <x v="1"/>
    <x v="3"/>
    <n v="480"/>
    <n v="13"/>
    <n v="1655"/>
    <n v="1606"/>
    <n v="49"/>
    <n v="13.8"/>
    <n v="467"/>
    <n v="0.97291666666666665"/>
    <n v="0.81509635974304073"/>
    <n v="0.97039274924471297"/>
    <n v="0.76954166666666668"/>
  </r>
  <r>
    <n v="609"/>
    <x v="50"/>
    <x v="2"/>
    <x v="0"/>
    <n v="480"/>
    <n v="33"/>
    <n v="2086"/>
    <n v="1968"/>
    <n v="118"/>
    <n v="12"/>
    <n v="447"/>
    <n v="0.93125000000000002"/>
    <n v="0.93333333333333335"/>
    <n v="0.94343240651965488"/>
    <n v="0.82000000000000006"/>
  </r>
  <r>
    <n v="610"/>
    <x v="50"/>
    <x v="2"/>
    <x v="1"/>
    <n v="480"/>
    <n v="0"/>
    <n v="1795"/>
    <n v="1698"/>
    <n v="97"/>
    <n v="12.6"/>
    <n v="480"/>
    <n v="1"/>
    <n v="0.78531249999999997"/>
    <n v="0.94596100278551531"/>
    <n v="0.74287499999999995"/>
  </r>
  <r>
    <n v="611"/>
    <x v="50"/>
    <x v="2"/>
    <x v="2"/>
    <n v="480"/>
    <n v="156"/>
    <n v="1201"/>
    <n v="1137"/>
    <n v="64"/>
    <n v="13.2"/>
    <n v="324"/>
    <n v="0.67500000000000004"/>
    <n v="0.81549382716049379"/>
    <n v="0.94671107410491262"/>
    <n v="0.52112500000000006"/>
  </r>
  <r>
    <n v="612"/>
    <x v="50"/>
    <x v="2"/>
    <x v="3"/>
    <n v="480"/>
    <n v="0"/>
    <n v="1676"/>
    <n v="1585"/>
    <n v="91"/>
    <n v="13.8"/>
    <n v="480"/>
    <n v="1"/>
    <n v="0.80308333333333348"/>
    <n v="0.94570405727923623"/>
    <n v="0.75947916666666682"/>
  </r>
  <r>
    <n v="613"/>
    <x v="51"/>
    <x v="0"/>
    <x v="0"/>
    <n v="480"/>
    <n v="88"/>
    <n v="1695"/>
    <n v="1621"/>
    <n v="74"/>
    <n v="12"/>
    <n v="392"/>
    <n v="0.81666666666666665"/>
    <n v="0.86479591836734693"/>
    <n v="0.95634218289085549"/>
    <n v="0.67541666666666667"/>
  </r>
  <r>
    <n v="614"/>
    <x v="51"/>
    <x v="0"/>
    <x v="1"/>
    <n v="480"/>
    <n v="5"/>
    <n v="1910"/>
    <n v="1871"/>
    <n v="39"/>
    <n v="12.6"/>
    <n v="475"/>
    <n v="0.98958333333333337"/>
    <n v="0.84442105263157896"/>
    <n v="0.97958115183246075"/>
    <n v="0.81856250000000008"/>
  </r>
  <r>
    <n v="615"/>
    <x v="51"/>
    <x v="0"/>
    <x v="2"/>
    <n v="480"/>
    <n v="127"/>
    <n v="1451"/>
    <n v="1384"/>
    <n v="67"/>
    <n v="13.2"/>
    <n v="353"/>
    <n v="0.73541666666666672"/>
    <n v="0.90430594900849859"/>
    <n v="0.95382494831150932"/>
    <n v="0.63433333333333342"/>
  </r>
  <r>
    <n v="616"/>
    <x v="51"/>
    <x v="0"/>
    <x v="3"/>
    <n v="480"/>
    <n v="7"/>
    <n v="1744"/>
    <n v="1671"/>
    <n v="73"/>
    <n v="13.8"/>
    <n v="473"/>
    <n v="0.98541666666666672"/>
    <n v="0.84803382663847782"/>
    <n v="0.95814220183486243"/>
    <n v="0.80068750000000011"/>
  </r>
  <r>
    <n v="617"/>
    <x v="51"/>
    <x v="1"/>
    <x v="0"/>
    <n v="480"/>
    <n v="6"/>
    <n v="1885"/>
    <n v="1793"/>
    <n v="92"/>
    <n v="12"/>
    <n v="474"/>
    <n v="0.98750000000000004"/>
    <n v="0.79535864978902948"/>
    <n v="0.95119363395225465"/>
    <n v="0.74708333333333332"/>
  </r>
  <r>
    <n v="618"/>
    <x v="51"/>
    <x v="1"/>
    <x v="1"/>
    <n v="480"/>
    <n v="189"/>
    <n v="1140"/>
    <n v="1083"/>
    <n v="57"/>
    <n v="12.6"/>
    <n v="291"/>
    <n v="0.60624999999999996"/>
    <n v="0.82268041237113398"/>
    <n v="0.95"/>
    <n v="0.47381249999999991"/>
  </r>
  <r>
    <n v="619"/>
    <x v="51"/>
    <x v="1"/>
    <x v="2"/>
    <n v="480"/>
    <n v="104"/>
    <n v="1478"/>
    <n v="1416"/>
    <n v="62"/>
    <n v="13.2"/>
    <n v="376"/>
    <n v="0.78333333333333333"/>
    <n v="0.86478723404255309"/>
    <n v="0.95805142083897155"/>
    <n v="0.64899999999999991"/>
  </r>
  <r>
    <n v="620"/>
    <x v="51"/>
    <x v="1"/>
    <x v="3"/>
    <n v="480"/>
    <n v="72"/>
    <n v="1681"/>
    <n v="1653"/>
    <n v="28"/>
    <n v="13.8"/>
    <n v="408"/>
    <n v="0.85"/>
    <n v="0.94762254901960796"/>
    <n v="0.98334324806662698"/>
    <n v="0.79206250000000011"/>
  </r>
  <r>
    <n v="621"/>
    <x v="51"/>
    <x v="2"/>
    <x v="0"/>
    <n v="480"/>
    <n v="47"/>
    <n v="2051"/>
    <n v="2017"/>
    <n v="34"/>
    <n v="12"/>
    <n v="433"/>
    <n v="0.90208333333333335"/>
    <n v="0.94734411085450343"/>
    <n v="0.98342272062408587"/>
    <n v="0.8404166666666667"/>
  </r>
  <r>
    <n v="622"/>
    <x v="51"/>
    <x v="2"/>
    <x v="1"/>
    <n v="480"/>
    <n v="98"/>
    <n v="1524"/>
    <n v="1496"/>
    <n v="28"/>
    <n v="12.6"/>
    <n v="382"/>
    <n v="0.79583333333333328"/>
    <n v="0.83780104712041881"/>
    <n v="0.98162729658792647"/>
    <n v="0.65449999999999997"/>
  </r>
  <r>
    <n v="623"/>
    <x v="51"/>
    <x v="2"/>
    <x v="2"/>
    <n v="480"/>
    <n v="39"/>
    <n v="1885"/>
    <n v="1788"/>
    <n v="97"/>
    <n v="13.2"/>
    <n v="441"/>
    <n v="0.91874999999999996"/>
    <n v="0.94036281179138326"/>
    <n v="0.94854111405835539"/>
    <n v="0.8194999999999999"/>
  </r>
  <r>
    <n v="624"/>
    <x v="51"/>
    <x v="2"/>
    <x v="3"/>
    <n v="480"/>
    <n v="16"/>
    <n v="1836"/>
    <n v="1785"/>
    <n v="51"/>
    <n v="13.8"/>
    <n v="464"/>
    <n v="0.96666666666666667"/>
    <n v="0.91008620689655184"/>
    <n v="0.97222222222222221"/>
    <n v="0.85531250000000014"/>
  </r>
  <r>
    <n v="625"/>
    <x v="52"/>
    <x v="0"/>
    <x v="0"/>
    <n v="480"/>
    <n v="189"/>
    <n v="1318"/>
    <n v="1264"/>
    <n v="54"/>
    <n v="12"/>
    <n v="291"/>
    <n v="0.60624999999999996"/>
    <n v="0.90584192439862543"/>
    <n v="0.95902883156297425"/>
    <n v="0.52666666666666662"/>
  </r>
  <r>
    <n v="626"/>
    <x v="52"/>
    <x v="0"/>
    <x v="1"/>
    <n v="480"/>
    <n v="21"/>
    <n v="2029"/>
    <n v="1969"/>
    <n v="60"/>
    <n v="12.6"/>
    <n v="459"/>
    <n v="0.95625000000000004"/>
    <n v="0.92830065359477121"/>
    <n v="0.97042878265155252"/>
    <n v="0.86143749999999997"/>
  </r>
  <r>
    <n v="627"/>
    <x v="52"/>
    <x v="0"/>
    <x v="2"/>
    <n v="480"/>
    <n v="0"/>
    <n v="1641"/>
    <n v="1580"/>
    <n v="61"/>
    <n v="13.2"/>
    <n v="480"/>
    <n v="1"/>
    <n v="0.75212499999999993"/>
    <n v="0.96282754418037786"/>
    <n v="0.72416666666666663"/>
  </r>
  <r>
    <n v="628"/>
    <x v="52"/>
    <x v="0"/>
    <x v="3"/>
    <n v="480"/>
    <n v="75"/>
    <n v="1525"/>
    <n v="1472"/>
    <n v="53"/>
    <n v="13.8"/>
    <n v="405"/>
    <n v="0.84375"/>
    <n v="0.86604938271604937"/>
    <n v="0.96524590163934432"/>
    <n v="0.70533333333333337"/>
  </r>
  <r>
    <n v="629"/>
    <x v="52"/>
    <x v="1"/>
    <x v="0"/>
    <n v="480"/>
    <n v="0"/>
    <n v="2342"/>
    <n v="2290"/>
    <n v="52"/>
    <n v="12"/>
    <n v="480"/>
    <n v="1"/>
    <n v="0.97583333333333333"/>
    <n v="0.97779675491033302"/>
    <n v="0.95416666666666661"/>
  </r>
  <r>
    <n v="630"/>
    <x v="52"/>
    <x v="1"/>
    <x v="1"/>
    <n v="480"/>
    <n v="0"/>
    <n v="2062"/>
    <n v="1980"/>
    <n v="82"/>
    <n v="12.6"/>
    <n v="480"/>
    <n v="1"/>
    <n v="0.90212500000000007"/>
    <n v="0.96023278370514065"/>
    <n v="0.86625000000000008"/>
  </r>
  <r>
    <n v="631"/>
    <x v="52"/>
    <x v="1"/>
    <x v="2"/>
    <n v="480"/>
    <n v="5"/>
    <n v="2026"/>
    <n v="1941"/>
    <n v="85"/>
    <n v="13.2"/>
    <n v="475"/>
    <n v="0.98958333333333337"/>
    <n v="0.93835789473684206"/>
    <n v="0.9580454096742349"/>
    <n v="0.889625"/>
  </r>
  <r>
    <n v="632"/>
    <x v="52"/>
    <x v="1"/>
    <x v="3"/>
    <n v="480"/>
    <n v="62"/>
    <n v="1577"/>
    <n v="1536"/>
    <n v="41"/>
    <n v="13.8"/>
    <n v="418"/>
    <n v="0.87083333333333335"/>
    <n v="0.86772727272727279"/>
    <n v="0.97400126823081801"/>
    <n v="0.73599999999999999"/>
  </r>
  <r>
    <n v="633"/>
    <x v="52"/>
    <x v="2"/>
    <x v="0"/>
    <n v="480"/>
    <n v="145"/>
    <n v="1320"/>
    <n v="1299"/>
    <n v="21"/>
    <n v="12"/>
    <n v="335"/>
    <n v="0.69791666666666663"/>
    <n v="0.78805970149253735"/>
    <n v="0.98409090909090913"/>
    <n v="0.54125000000000001"/>
  </r>
  <r>
    <n v="634"/>
    <x v="52"/>
    <x v="2"/>
    <x v="1"/>
    <n v="480"/>
    <n v="0"/>
    <n v="2094"/>
    <n v="1976"/>
    <n v="118"/>
    <n v="12.6"/>
    <n v="480"/>
    <n v="1"/>
    <n v="0.91612499999999997"/>
    <n v="0.94364851957975171"/>
    <n v="0.86450000000000005"/>
  </r>
  <r>
    <n v="635"/>
    <x v="52"/>
    <x v="2"/>
    <x v="2"/>
    <n v="480"/>
    <n v="8"/>
    <n v="1794"/>
    <n v="1721"/>
    <n v="73"/>
    <n v="13.2"/>
    <n v="472"/>
    <n v="0.98333333333333328"/>
    <n v="0.8361864406779661"/>
    <n v="0.95930880713489408"/>
    <n v="0.78879166666666656"/>
  </r>
  <r>
    <n v="636"/>
    <x v="52"/>
    <x v="2"/>
    <x v="3"/>
    <n v="480"/>
    <n v="232"/>
    <n v="866"/>
    <n v="856"/>
    <n v="10"/>
    <n v="13.8"/>
    <n v="248"/>
    <n v="0.51666666666666672"/>
    <n v="0.80314516129032265"/>
    <n v="0.98845265588914555"/>
    <n v="0.41016666666666679"/>
  </r>
  <r>
    <n v="637"/>
    <x v="53"/>
    <x v="0"/>
    <x v="0"/>
    <n v="480"/>
    <n v="0"/>
    <n v="1821"/>
    <n v="1768"/>
    <n v="53"/>
    <n v="12"/>
    <n v="480"/>
    <n v="1"/>
    <n v="0.75875000000000004"/>
    <n v="0.97089511257550798"/>
    <n v="0.73666666666666669"/>
  </r>
  <r>
    <n v="638"/>
    <x v="53"/>
    <x v="0"/>
    <x v="1"/>
    <n v="480"/>
    <n v="71"/>
    <n v="1465"/>
    <n v="1394"/>
    <n v="71"/>
    <n v="12.6"/>
    <n v="409"/>
    <n v="0.8520833333333333"/>
    <n v="0.75220048899755498"/>
    <n v="0.95153583617747439"/>
    <n v="0.60987499999999994"/>
  </r>
  <r>
    <n v="639"/>
    <x v="53"/>
    <x v="0"/>
    <x v="2"/>
    <n v="480"/>
    <n v="118"/>
    <n v="1609"/>
    <n v="1524"/>
    <n v="85"/>
    <n v="13.2"/>
    <n v="362"/>
    <n v="0.75416666666666665"/>
    <n v="0.97784530386740331"/>
    <n v="0.94717215661901799"/>
    <n v="0.69850000000000001"/>
  </r>
  <r>
    <n v="640"/>
    <x v="53"/>
    <x v="0"/>
    <x v="3"/>
    <n v="480"/>
    <n v="0"/>
    <n v="1904"/>
    <n v="1853"/>
    <n v="51"/>
    <n v="13.8"/>
    <n v="480"/>
    <n v="1"/>
    <n v="0.91233333333333333"/>
    <n v="0.9732142857142857"/>
    <n v="0.88789583333333333"/>
  </r>
  <r>
    <n v="641"/>
    <x v="53"/>
    <x v="1"/>
    <x v="0"/>
    <n v="480"/>
    <n v="0"/>
    <n v="2022"/>
    <n v="1979"/>
    <n v="43"/>
    <n v="12"/>
    <n v="480"/>
    <n v="1"/>
    <n v="0.84250000000000003"/>
    <n v="0.97873392680514337"/>
    <n v="0.82458333333333333"/>
  </r>
  <r>
    <n v="642"/>
    <x v="53"/>
    <x v="1"/>
    <x v="1"/>
    <n v="480"/>
    <n v="53"/>
    <n v="1661"/>
    <n v="1610"/>
    <n v="51"/>
    <n v="12.6"/>
    <n v="427"/>
    <n v="0.88958333333333328"/>
    <n v="0.81688524590163925"/>
    <n v="0.96929560505719448"/>
    <n v="0.70437499999999986"/>
  </r>
  <r>
    <n v="643"/>
    <x v="53"/>
    <x v="1"/>
    <x v="2"/>
    <n v="480"/>
    <n v="25"/>
    <n v="1703"/>
    <n v="1672"/>
    <n v="31"/>
    <n v="13.2"/>
    <n v="455"/>
    <n v="0.94791666666666663"/>
    <n v="0.8234285714285714"/>
    <n v="0.98179682912507338"/>
    <n v="0.7663333333333332"/>
  </r>
  <r>
    <n v="644"/>
    <x v="53"/>
    <x v="1"/>
    <x v="3"/>
    <n v="480"/>
    <n v="5"/>
    <n v="1582"/>
    <n v="1495"/>
    <n v="87"/>
    <n v="13.8"/>
    <n v="475"/>
    <n v="0.98958333333333337"/>
    <n v="0.76602105263157905"/>
    <n v="0.94500632111251581"/>
    <n v="0.71635416666666685"/>
  </r>
  <r>
    <n v="645"/>
    <x v="53"/>
    <x v="2"/>
    <x v="0"/>
    <n v="480"/>
    <n v="0"/>
    <n v="2253"/>
    <n v="2170"/>
    <n v="83"/>
    <n v="12"/>
    <n v="480"/>
    <n v="1"/>
    <n v="0.93874999999999997"/>
    <n v="0.96316023080337332"/>
    <n v="0.90416666666666667"/>
  </r>
  <r>
    <n v="646"/>
    <x v="53"/>
    <x v="2"/>
    <x v="1"/>
    <n v="480"/>
    <n v="0"/>
    <n v="2216"/>
    <n v="2167"/>
    <n v="49"/>
    <n v="12.6"/>
    <n v="480"/>
    <n v="1"/>
    <n v="0.96949999999999992"/>
    <n v="0.9778880866425993"/>
    <n v="0.94806249999999992"/>
  </r>
  <r>
    <n v="647"/>
    <x v="53"/>
    <x v="2"/>
    <x v="2"/>
    <n v="480"/>
    <n v="5"/>
    <n v="1873"/>
    <n v="1783"/>
    <n v="90"/>
    <n v="13.2"/>
    <n v="475"/>
    <n v="0.98958333333333337"/>
    <n v="0.86749473684210521"/>
    <n v="0.95194874532835028"/>
    <n v="0.81720833333333331"/>
  </r>
  <r>
    <n v="648"/>
    <x v="53"/>
    <x v="2"/>
    <x v="3"/>
    <n v="480"/>
    <n v="34"/>
    <n v="1592"/>
    <n v="1537"/>
    <n v="55"/>
    <n v="13.8"/>
    <n v="446"/>
    <n v="0.9291666666666667"/>
    <n v="0.82098654708520191"/>
    <n v="0.96545226130653261"/>
    <n v="0.7364791666666668"/>
  </r>
  <r>
    <n v="649"/>
    <x v="54"/>
    <x v="0"/>
    <x v="0"/>
    <n v="480"/>
    <n v="29"/>
    <n v="2186"/>
    <n v="2060"/>
    <n v="126"/>
    <n v="12"/>
    <n v="451"/>
    <n v="0.93958333333333333"/>
    <n v="0.9694013303769401"/>
    <n v="0.94236047575480331"/>
    <n v="0.85833333333333328"/>
  </r>
  <r>
    <n v="650"/>
    <x v="54"/>
    <x v="0"/>
    <x v="1"/>
    <n v="480"/>
    <n v="22"/>
    <n v="2111"/>
    <n v="2075"/>
    <n v="36"/>
    <n v="12.6"/>
    <n v="458"/>
    <n v="0.95416666666666672"/>
    <n v="0.96792576419213971"/>
    <n v="0.98294647086688769"/>
    <n v="0.90781250000000002"/>
  </r>
  <r>
    <n v="651"/>
    <x v="54"/>
    <x v="0"/>
    <x v="2"/>
    <n v="480"/>
    <n v="28"/>
    <n v="1907"/>
    <n v="1856"/>
    <n v="51"/>
    <n v="13.2"/>
    <n v="452"/>
    <n v="0.94166666666666665"/>
    <n v="0.9281858407079645"/>
    <n v="0.97325642370214993"/>
    <n v="0.85066666666666657"/>
  </r>
  <r>
    <n v="652"/>
    <x v="54"/>
    <x v="0"/>
    <x v="3"/>
    <n v="480"/>
    <n v="125"/>
    <n v="1483"/>
    <n v="1403"/>
    <n v="80"/>
    <n v="13.8"/>
    <n v="355"/>
    <n v="0.73958333333333337"/>
    <n v="0.96081690140845077"/>
    <n v="0.94605529332434257"/>
    <n v="0.67227083333333337"/>
  </r>
  <r>
    <n v="653"/>
    <x v="54"/>
    <x v="1"/>
    <x v="0"/>
    <n v="480"/>
    <n v="29"/>
    <n v="1768"/>
    <n v="1698"/>
    <n v="70"/>
    <n v="12"/>
    <n v="451"/>
    <n v="0.93958333333333333"/>
    <n v="0.78403547671840357"/>
    <n v="0.96040723981900455"/>
    <n v="0.70750000000000002"/>
  </r>
  <r>
    <n v="654"/>
    <x v="54"/>
    <x v="1"/>
    <x v="1"/>
    <n v="480"/>
    <n v="58"/>
    <n v="1784"/>
    <n v="1705"/>
    <n v="79"/>
    <n v="12.6"/>
    <n v="422"/>
    <n v="0.87916666666666665"/>
    <n v="0.88777251184834116"/>
    <n v="0.95571748878923768"/>
    <n v="0.74593750000000003"/>
  </r>
  <r>
    <n v="655"/>
    <x v="54"/>
    <x v="1"/>
    <x v="2"/>
    <n v="480"/>
    <n v="37"/>
    <n v="1919"/>
    <n v="1867"/>
    <n v="52"/>
    <n v="13.2"/>
    <n v="443"/>
    <n v="0.92291666666666672"/>
    <n v="0.95300225733634314"/>
    <n v="0.97290255341323606"/>
    <n v="0.8557083333333334"/>
  </r>
  <r>
    <n v="656"/>
    <x v="54"/>
    <x v="1"/>
    <x v="3"/>
    <n v="480"/>
    <n v="11"/>
    <n v="1555"/>
    <n v="1493"/>
    <n v="62"/>
    <n v="13.8"/>
    <n v="469"/>
    <n v="0.9770833333333333"/>
    <n v="0.76257995735607675"/>
    <n v="0.96012861736334409"/>
    <n v="0.71539583333333334"/>
  </r>
  <r>
    <n v="657"/>
    <x v="54"/>
    <x v="2"/>
    <x v="0"/>
    <n v="480"/>
    <n v="7"/>
    <n v="1935"/>
    <n v="1907"/>
    <n v="28"/>
    <n v="12"/>
    <n v="473"/>
    <n v="0.98541666666666672"/>
    <n v="0.81818181818181823"/>
    <n v="0.98552971576227388"/>
    <n v="0.79458333333333342"/>
  </r>
  <r>
    <n v="658"/>
    <x v="54"/>
    <x v="2"/>
    <x v="1"/>
    <n v="480"/>
    <n v="5"/>
    <n v="1856"/>
    <n v="1752"/>
    <n v="104"/>
    <n v="12.6"/>
    <n v="475"/>
    <n v="0.98958333333333337"/>
    <n v="0.82054736842105258"/>
    <n v="0.94396551724137934"/>
    <n v="0.76649999999999996"/>
  </r>
  <r>
    <n v="659"/>
    <x v="54"/>
    <x v="2"/>
    <x v="2"/>
    <n v="480"/>
    <n v="0"/>
    <n v="2121"/>
    <n v="2078"/>
    <n v="43"/>
    <n v="13.2"/>
    <n v="480"/>
    <n v="1"/>
    <n v="0.97212499999999991"/>
    <n v="0.97972654408297977"/>
    <n v="0.95241666666666658"/>
  </r>
  <r>
    <n v="660"/>
    <x v="54"/>
    <x v="2"/>
    <x v="3"/>
    <n v="480"/>
    <n v="136"/>
    <n v="1383"/>
    <n v="1346"/>
    <n v="37"/>
    <n v="13.8"/>
    <n v="344"/>
    <n v="0.71666666666666667"/>
    <n v="0.92468023255813958"/>
    <n v="0.9732465654374548"/>
    <n v="0.6449583333333333"/>
  </r>
  <r>
    <n v="661"/>
    <x v="55"/>
    <x v="0"/>
    <x v="0"/>
    <n v="480"/>
    <n v="248"/>
    <n v="988"/>
    <n v="954"/>
    <n v="34"/>
    <n v="12"/>
    <n v="232"/>
    <n v="0.48333333333333334"/>
    <n v="0.85172413793103452"/>
    <n v="0.96558704453441291"/>
    <n v="0.39750000000000002"/>
  </r>
  <r>
    <n v="662"/>
    <x v="55"/>
    <x v="0"/>
    <x v="1"/>
    <n v="480"/>
    <n v="50"/>
    <n v="1935"/>
    <n v="1881"/>
    <n v="54"/>
    <n v="12.6"/>
    <n v="430"/>
    <n v="0.89583333333333337"/>
    <n v="0.94499999999999995"/>
    <n v="0.97209302325581393"/>
    <n v="0.82293749999999999"/>
  </r>
  <r>
    <n v="663"/>
    <x v="55"/>
    <x v="0"/>
    <x v="2"/>
    <n v="480"/>
    <n v="97"/>
    <n v="1605"/>
    <n v="1551"/>
    <n v="54"/>
    <n v="13.2"/>
    <n v="383"/>
    <n v="0.79791666666666672"/>
    <n v="0.92193211488250648"/>
    <n v="0.96635514018691593"/>
    <n v="0.71087500000000003"/>
  </r>
  <r>
    <n v="664"/>
    <x v="55"/>
    <x v="0"/>
    <x v="3"/>
    <n v="480"/>
    <n v="0"/>
    <n v="2029"/>
    <n v="1937"/>
    <n v="92"/>
    <n v="13.8"/>
    <n v="480"/>
    <n v="1"/>
    <n v="0.9722291666666667"/>
    <n v="0.9546574667323805"/>
    <n v="0.92814583333333334"/>
  </r>
  <r>
    <n v="665"/>
    <x v="55"/>
    <x v="1"/>
    <x v="0"/>
    <n v="480"/>
    <n v="26"/>
    <n v="1935"/>
    <n v="1904"/>
    <n v="31"/>
    <n v="12"/>
    <n v="454"/>
    <n v="0.9458333333333333"/>
    <n v="0.85242290748898675"/>
    <n v="0.9839793281653747"/>
    <n v="0.79333333333333322"/>
  </r>
  <r>
    <n v="666"/>
    <x v="55"/>
    <x v="1"/>
    <x v="1"/>
    <n v="480"/>
    <n v="0"/>
    <n v="1714"/>
    <n v="1694"/>
    <n v="20"/>
    <n v="12.6"/>
    <n v="480"/>
    <n v="1"/>
    <n v="0.74987499999999996"/>
    <n v="0.98833138856476077"/>
    <n v="0.74112499999999992"/>
  </r>
  <r>
    <n v="667"/>
    <x v="55"/>
    <x v="1"/>
    <x v="2"/>
    <n v="480"/>
    <n v="69"/>
    <n v="1659"/>
    <n v="1582"/>
    <n v="77"/>
    <n v="13.2"/>
    <n v="411"/>
    <n v="0.85624999999999996"/>
    <n v="0.88802919708029193"/>
    <n v="0.95358649789029537"/>
    <n v="0.7250833333333333"/>
  </r>
  <r>
    <n v="668"/>
    <x v="55"/>
    <x v="1"/>
    <x v="3"/>
    <n v="480"/>
    <n v="86"/>
    <n v="1520"/>
    <n v="1475"/>
    <n v="45"/>
    <n v="13.8"/>
    <n v="394"/>
    <n v="0.8208333333333333"/>
    <n v="0.8873096446700508"/>
    <n v="0.97039473684210531"/>
    <n v="0.70677083333333346"/>
  </r>
  <r>
    <n v="669"/>
    <x v="55"/>
    <x v="2"/>
    <x v="0"/>
    <n v="480"/>
    <n v="33"/>
    <n v="1769"/>
    <n v="1714"/>
    <n v="55"/>
    <n v="12"/>
    <n v="447"/>
    <n v="0.93125000000000002"/>
    <n v="0.79149888143176739"/>
    <n v="0.96890898812888637"/>
    <n v="0.71416666666666673"/>
  </r>
  <r>
    <n v="670"/>
    <x v="55"/>
    <x v="2"/>
    <x v="1"/>
    <n v="480"/>
    <n v="0"/>
    <n v="2085"/>
    <n v="2009"/>
    <n v="76"/>
    <n v="12.6"/>
    <n v="480"/>
    <n v="1"/>
    <n v="0.91218750000000004"/>
    <n v="0.96354916067146279"/>
    <n v="0.87893750000000004"/>
  </r>
  <r>
    <n v="671"/>
    <x v="55"/>
    <x v="2"/>
    <x v="2"/>
    <n v="480"/>
    <n v="5"/>
    <n v="1779"/>
    <n v="1712"/>
    <n v="67"/>
    <n v="13.2"/>
    <n v="475"/>
    <n v="0.98958333333333337"/>
    <n v="0.82395789473684211"/>
    <n v="0.96233839235525576"/>
    <n v="0.78466666666666673"/>
  </r>
  <r>
    <n v="672"/>
    <x v="55"/>
    <x v="2"/>
    <x v="3"/>
    <n v="480"/>
    <n v="88"/>
    <n v="1499"/>
    <n v="1439"/>
    <n v="60"/>
    <n v="13.8"/>
    <n v="392"/>
    <n v="0.81666666666666665"/>
    <n v="0.87951530612244899"/>
    <n v="0.9599733155436958"/>
    <n v="0.68952083333333336"/>
  </r>
  <r>
    <n v="673"/>
    <x v="56"/>
    <x v="0"/>
    <x v="0"/>
    <n v="480"/>
    <n v="0"/>
    <n v="2009"/>
    <n v="1927"/>
    <n v="82"/>
    <n v="12"/>
    <n v="480"/>
    <n v="1"/>
    <n v="0.83708333333333329"/>
    <n v="0.95918367346938771"/>
    <n v="0.80291666666666661"/>
  </r>
  <r>
    <n v="674"/>
    <x v="56"/>
    <x v="0"/>
    <x v="1"/>
    <n v="480"/>
    <n v="67"/>
    <n v="1513"/>
    <n v="1465"/>
    <n v="48"/>
    <n v="12.6"/>
    <n v="413"/>
    <n v="0.86041666666666672"/>
    <n v="0.769322033898305"/>
    <n v="0.96827495042961009"/>
    <n v="0.64093749999999994"/>
  </r>
  <r>
    <n v="675"/>
    <x v="56"/>
    <x v="0"/>
    <x v="2"/>
    <n v="480"/>
    <n v="161"/>
    <n v="1255"/>
    <n v="1222"/>
    <n v="33"/>
    <n v="13.2"/>
    <n v="319"/>
    <n v="0.6645833333333333"/>
    <n v="0.8655172413793103"/>
    <n v="0.97370517928286848"/>
    <n v="0.56008333333333327"/>
  </r>
  <r>
    <n v="676"/>
    <x v="56"/>
    <x v="0"/>
    <x v="3"/>
    <n v="480"/>
    <n v="8"/>
    <n v="1973"/>
    <n v="1953"/>
    <n v="20"/>
    <n v="13.8"/>
    <n v="472"/>
    <n v="0.98333333333333328"/>
    <n v="0.96141949152542383"/>
    <n v="0.98986315255955393"/>
    <n v="0.93581250000000005"/>
  </r>
  <r>
    <n v="677"/>
    <x v="56"/>
    <x v="1"/>
    <x v="0"/>
    <n v="480"/>
    <n v="180"/>
    <n v="1206"/>
    <n v="1165"/>
    <n v="41"/>
    <n v="12"/>
    <n v="300"/>
    <n v="0.625"/>
    <n v="0.80400000000000005"/>
    <n v="0.96600331674958539"/>
    <n v="0.48541666666666672"/>
  </r>
  <r>
    <n v="678"/>
    <x v="56"/>
    <x v="1"/>
    <x v="1"/>
    <n v="480"/>
    <n v="81"/>
    <n v="1529"/>
    <n v="1499"/>
    <n v="30"/>
    <n v="12.6"/>
    <n v="399"/>
    <n v="0.83125000000000004"/>
    <n v="0.80473684210526308"/>
    <n v="0.98037933289731849"/>
    <n v="0.65581249999999991"/>
  </r>
  <r>
    <n v="679"/>
    <x v="56"/>
    <x v="1"/>
    <x v="2"/>
    <n v="480"/>
    <n v="10"/>
    <n v="2012"/>
    <n v="1981"/>
    <n v="31"/>
    <n v="13.2"/>
    <n v="470"/>
    <n v="0.97916666666666663"/>
    <n v="0.94178723404255316"/>
    <n v="0.98459244532803181"/>
    <n v="0.9079583333333332"/>
  </r>
  <r>
    <n v="680"/>
    <x v="56"/>
    <x v="1"/>
    <x v="3"/>
    <n v="480"/>
    <n v="0"/>
    <n v="1775"/>
    <n v="1683"/>
    <n v="92"/>
    <n v="13.8"/>
    <n v="480"/>
    <n v="1"/>
    <n v="0.85052083333333328"/>
    <n v="0.94816901408450704"/>
    <n v="0.80643749999999992"/>
  </r>
  <r>
    <n v="681"/>
    <x v="56"/>
    <x v="2"/>
    <x v="0"/>
    <n v="480"/>
    <n v="26"/>
    <n v="2004"/>
    <n v="1927"/>
    <n v="77"/>
    <n v="12"/>
    <n v="454"/>
    <n v="0.9458333333333333"/>
    <n v="0.88281938325991194"/>
    <n v="0.96157684630738527"/>
    <n v="0.80291666666666661"/>
  </r>
  <r>
    <n v="682"/>
    <x v="56"/>
    <x v="2"/>
    <x v="1"/>
    <n v="480"/>
    <n v="20"/>
    <n v="1692"/>
    <n v="1611"/>
    <n v="81"/>
    <n v="12.6"/>
    <n v="460"/>
    <n v="0.95833333333333337"/>
    <n v="0.77243478260869569"/>
    <n v="0.9521276595744681"/>
    <n v="0.70481250000000006"/>
  </r>
  <r>
    <n v="683"/>
    <x v="56"/>
    <x v="2"/>
    <x v="2"/>
    <n v="480"/>
    <n v="116"/>
    <n v="1473"/>
    <n v="1419"/>
    <n v="54"/>
    <n v="13.2"/>
    <n v="364"/>
    <n v="0.7583333333333333"/>
    <n v="0.89027472527472518"/>
    <n v="0.96334012219959264"/>
    <n v="0.65037499999999981"/>
  </r>
  <r>
    <n v="684"/>
    <x v="56"/>
    <x v="2"/>
    <x v="3"/>
    <n v="480"/>
    <n v="20"/>
    <n v="1736"/>
    <n v="1710"/>
    <n v="26"/>
    <n v="13.8"/>
    <n v="460"/>
    <n v="0.95833333333333337"/>
    <n v="0.8680000000000001"/>
    <n v="0.98502304147465436"/>
    <n v="0.81937500000000008"/>
  </r>
  <r>
    <n v="685"/>
    <x v="57"/>
    <x v="0"/>
    <x v="0"/>
    <n v="480"/>
    <n v="0"/>
    <n v="2331"/>
    <n v="2264"/>
    <n v="67"/>
    <n v="12"/>
    <n v="480"/>
    <n v="1"/>
    <n v="0.97124999999999995"/>
    <n v="0.9712569712569713"/>
    <n v="0.94333333333333336"/>
  </r>
  <r>
    <n v="686"/>
    <x v="57"/>
    <x v="0"/>
    <x v="1"/>
    <n v="480"/>
    <n v="80"/>
    <n v="1680"/>
    <n v="1653"/>
    <n v="27"/>
    <n v="12.6"/>
    <n v="400"/>
    <n v="0.83333333333333337"/>
    <n v="0.88200000000000001"/>
    <n v="0.98392857142857137"/>
    <n v="0.72318749999999998"/>
  </r>
  <r>
    <n v="687"/>
    <x v="57"/>
    <x v="0"/>
    <x v="2"/>
    <n v="480"/>
    <n v="50"/>
    <n v="1524"/>
    <n v="1486"/>
    <n v="38"/>
    <n v="13.2"/>
    <n v="430"/>
    <n v="0.89583333333333337"/>
    <n v="0.77972093023255806"/>
    <n v="0.97506561679790027"/>
    <n v="0.68108333333333337"/>
  </r>
  <r>
    <n v="688"/>
    <x v="57"/>
    <x v="0"/>
    <x v="3"/>
    <n v="480"/>
    <n v="0"/>
    <n v="2001"/>
    <n v="1905"/>
    <n v="96"/>
    <n v="13.8"/>
    <n v="480"/>
    <n v="1"/>
    <n v="0.95881250000000007"/>
    <n v="0.95202398800599697"/>
    <n v="0.91281250000000003"/>
  </r>
  <r>
    <n v="689"/>
    <x v="57"/>
    <x v="1"/>
    <x v="0"/>
    <n v="480"/>
    <n v="63"/>
    <n v="1791"/>
    <n v="1753"/>
    <n v="38"/>
    <n v="12"/>
    <n v="417"/>
    <n v="0.86875000000000002"/>
    <n v="0.85899280575539572"/>
    <n v="0.97878280290340591"/>
    <n v="0.73041666666666671"/>
  </r>
  <r>
    <n v="690"/>
    <x v="57"/>
    <x v="1"/>
    <x v="1"/>
    <n v="480"/>
    <n v="28"/>
    <n v="1687"/>
    <n v="1588"/>
    <n v="99"/>
    <n v="12.6"/>
    <n v="452"/>
    <n v="0.94166666666666665"/>
    <n v="0.78378318584070794"/>
    <n v="0.94131594546532305"/>
    <n v="0.69474999999999998"/>
  </r>
  <r>
    <n v="691"/>
    <x v="57"/>
    <x v="1"/>
    <x v="2"/>
    <n v="480"/>
    <n v="0"/>
    <n v="1701"/>
    <n v="1667"/>
    <n v="34"/>
    <n v="13.2"/>
    <n v="480"/>
    <n v="1"/>
    <n v="0.7796249999999999"/>
    <n v="0.98001175778953553"/>
    <n v="0.76404166666666651"/>
  </r>
  <r>
    <n v="692"/>
    <x v="57"/>
    <x v="1"/>
    <x v="3"/>
    <n v="480"/>
    <n v="38"/>
    <n v="1832"/>
    <n v="1806"/>
    <n v="26"/>
    <n v="13.8"/>
    <n v="442"/>
    <n v="0.92083333333333328"/>
    <n v="0.95330316742081456"/>
    <n v="0.98580786026200873"/>
    <n v="0.86537500000000001"/>
  </r>
  <r>
    <n v="693"/>
    <x v="57"/>
    <x v="2"/>
    <x v="0"/>
    <n v="480"/>
    <n v="88"/>
    <n v="1894"/>
    <n v="1811"/>
    <n v="83"/>
    <n v="12"/>
    <n v="392"/>
    <n v="0.81666666666666665"/>
    <n v="0.96632653061224494"/>
    <n v="0.95617740232312565"/>
    <n v="0.75458333333333338"/>
  </r>
  <r>
    <n v="694"/>
    <x v="57"/>
    <x v="2"/>
    <x v="1"/>
    <n v="480"/>
    <n v="93"/>
    <n v="1468"/>
    <n v="1395"/>
    <n v="73"/>
    <n v="12.6"/>
    <n v="387"/>
    <n v="0.80625000000000002"/>
    <n v="0.79658914728682162"/>
    <n v="0.95027247956403271"/>
    <n v="0.61031250000000004"/>
  </r>
  <r>
    <n v="695"/>
    <x v="57"/>
    <x v="2"/>
    <x v="2"/>
    <n v="480"/>
    <n v="6"/>
    <n v="1766"/>
    <n v="1662"/>
    <n v="104"/>
    <n v="13.2"/>
    <n v="474"/>
    <n v="0.98750000000000004"/>
    <n v="0.81966244725738391"/>
    <n v="0.94110985277463188"/>
    <n v="0.76174999999999993"/>
  </r>
  <r>
    <n v="696"/>
    <x v="57"/>
    <x v="2"/>
    <x v="3"/>
    <n v="480"/>
    <n v="27"/>
    <n v="1624"/>
    <n v="1547"/>
    <n v="77"/>
    <n v="13.8"/>
    <n v="453"/>
    <n v="0.94374999999999998"/>
    <n v="0.82454746136865342"/>
    <n v="0.95258620689655171"/>
    <n v="0.74127083333333332"/>
  </r>
  <r>
    <n v="697"/>
    <x v="58"/>
    <x v="0"/>
    <x v="0"/>
    <n v="480"/>
    <n v="23"/>
    <n v="1963"/>
    <n v="1927"/>
    <n v="36"/>
    <n v="12"/>
    <n v="457"/>
    <n v="0.95208333333333328"/>
    <n v="0.85908096280087531"/>
    <n v="0.9816607233825777"/>
    <n v="0.80291666666666661"/>
  </r>
  <r>
    <n v="698"/>
    <x v="58"/>
    <x v="0"/>
    <x v="1"/>
    <n v="480"/>
    <n v="39"/>
    <n v="2002"/>
    <n v="1967"/>
    <n v="35"/>
    <n v="12.6"/>
    <n v="441"/>
    <n v="0.91874999999999996"/>
    <n v="0.95333333333333337"/>
    <n v="0.9825174825174825"/>
    <n v="0.8605624999999999"/>
  </r>
  <r>
    <n v="699"/>
    <x v="58"/>
    <x v="0"/>
    <x v="2"/>
    <n v="480"/>
    <n v="20"/>
    <n v="1900"/>
    <n v="1819"/>
    <n v="81"/>
    <n v="13.2"/>
    <n v="460"/>
    <n v="0.95833333333333337"/>
    <n v="0.90869565217391302"/>
    <n v="0.95736842105263154"/>
    <n v="0.83370833333333327"/>
  </r>
  <r>
    <n v="700"/>
    <x v="58"/>
    <x v="0"/>
    <x v="3"/>
    <n v="480"/>
    <n v="0"/>
    <n v="1741"/>
    <n v="1639"/>
    <n v="102"/>
    <n v="13.8"/>
    <n v="480"/>
    <n v="1"/>
    <n v="0.8342291666666668"/>
    <n v="0.94141298104537618"/>
    <n v="0.7853541666666668"/>
  </r>
  <r>
    <n v="701"/>
    <x v="58"/>
    <x v="1"/>
    <x v="0"/>
    <n v="480"/>
    <n v="31"/>
    <n v="1984"/>
    <n v="1886"/>
    <n v="98"/>
    <n v="12"/>
    <n v="449"/>
    <n v="0.93541666666666667"/>
    <n v="0.88374164810690425"/>
    <n v="0.95060483870967738"/>
    <n v="0.78583333333333327"/>
  </r>
  <r>
    <n v="702"/>
    <x v="58"/>
    <x v="1"/>
    <x v="1"/>
    <n v="480"/>
    <n v="73"/>
    <n v="1838"/>
    <n v="1776"/>
    <n v="62"/>
    <n v="12.6"/>
    <n v="407"/>
    <n v="0.84791666666666665"/>
    <n v="0.94835380835380834"/>
    <n v="0.96626768226332971"/>
    <n v="0.77700000000000002"/>
  </r>
  <r>
    <n v="703"/>
    <x v="58"/>
    <x v="1"/>
    <x v="2"/>
    <n v="480"/>
    <n v="0"/>
    <n v="1912"/>
    <n v="1853"/>
    <n v="59"/>
    <n v="13.2"/>
    <n v="480"/>
    <n v="1"/>
    <n v="0.8763333333333333"/>
    <n v="0.96914225941422594"/>
    <n v="0.84929166666666667"/>
  </r>
  <r>
    <n v="704"/>
    <x v="58"/>
    <x v="1"/>
    <x v="3"/>
    <n v="480"/>
    <n v="12"/>
    <n v="1551"/>
    <n v="1461"/>
    <n v="90"/>
    <n v="13.8"/>
    <n v="468"/>
    <n v="0.97499999999999998"/>
    <n v="0.76224358974358986"/>
    <n v="0.94197292069632499"/>
    <n v="0.70006250000000014"/>
  </r>
  <r>
    <n v="705"/>
    <x v="58"/>
    <x v="2"/>
    <x v="0"/>
    <n v="480"/>
    <n v="39"/>
    <n v="1808"/>
    <n v="1773"/>
    <n v="35"/>
    <n v="12"/>
    <n v="441"/>
    <n v="0.91874999999999996"/>
    <n v="0.81995464852607713"/>
    <n v="0.98064159292035402"/>
    <n v="0.73875000000000002"/>
  </r>
  <r>
    <n v="706"/>
    <x v="58"/>
    <x v="2"/>
    <x v="1"/>
    <n v="480"/>
    <n v="0"/>
    <n v="1870"/>
    <n v="1779"/>
    <n v="91"/>
    <n v="12.6"/>
    <n v="480"/>
    <n v="1"/>
    <n v="0.81812499999999999"/>
    <n v="0.95133689839572189"/>
    <n v="0.77831249999999996"/>
  </r>
  <r>
    <n v="707"/>
    <x v="58"/>
    <x v="2"/>
    <x v="2"/>
    <n v="480"/>
    <n v="18"/>
    <n v="2028"/>
    <n v="1973"/>
    <n v="55"/>
    <n v="13.2"/>
    <n v="462"/>
    <n v="0.96250000000000002"/>
    <n v="0.96571428571428564"/>
    <n v="0.97287968441814598"/>
    <n v="0.90429166666666672"/>
  </r>
  <r>
    <n v="708"/>
    <x v="58"/>
    <x v="2"/>
    <x v="3"/>
    <n v="480"/>
    <n v="138"/>
    <n v="1132"/>
    <n v="1116"/>
    <n v="16"/>
    <n v="13.8"/>
    <n v="342"/>
    <n v="0.71250000000000002"/>
    <n v="0.76128654970760234"/>
    <n v="0.98586572438162545"/>
    <n v="0.53474999999999995"/>
  </r>
  <r>
    <n v="709"/>
    <x v="59"/>
    <x v="0"/>
    <x v="0"/>
    <n v="480"/>
    <n v="5"/>
    <n v="1793"/>
    <n v="1706"/>
    <n v="87"/>
    <n v="12"/>
    <n v="475"/>
    <n v="0.98958333333333337"/>
    <n v="0.75494736842105259"/>
    <n v="0.95147796988287781"/>
    <n v="0.71083333333333332"/>
  </r>
  <r>
    <n v="710"/>
    <x v="59"/>
    <x v="0"/>
    <x v="1"/>
    <n v="480"/>
    <n v="0"/>
    <n v="1960"/>
    <n v="1882"/>
    <n v="78"/>
    <n v="12.6"/>
    <n v="480"/>
    <n v="1"/>
    <n v="0.85750000000000004"/>
    <n v="0.96020408163265303"/>
    <n v="0.82337499999999997"/>
  </r>
  <r>
    <n v="711"/>
    <x v="59"/>
    <x v="0"/>
    <x v="2"/>
    <n v="480"/>
    <n v="5"/>
    <n v="1997"/>
    <n v="1888"/>
    <n v="109"/>
    <n v="13.2"/>
    <n v="475"/>
    <n v="0.98958333333333337"/>
    <n v="0.9249263157894736"/>
    <n v="0.94541812719078622"/>
    <n v="0.86533333333333329"/>
  </r>
  <r>
    <n v="712"/>
    <x v="59"/>
    <x v="0"/>
    <x v="3"/>
    <n v="480"/>
    <n v="53"/>
    <n v="1655"/>
    <n v="1562"/>
    <n v="93"/>
    <n v="13.8"/>
    <n v="427"/>
    <n v="0.88958333333333328"/>
    <n v="0.8914519906323185"/>
    <n v="0.9438066465256798"/>
    <n v="0.74845833333333334"/>
  </r>
  <r>
    <n v="713"/>
    <x v="59"/>
    <x v="1"/>
    <x v="0"/>
    <n v="480"/>
    <n v="182"/>
    <n v="1214"/>
    <n v="1185"/>
    <n v="29"/>
    <n v="12"/>
    <n v="298"/>
    <n v="0.62083333333333335"/>
    <n v="0.81476510067114094"/>
    <n v="0.97611202635914329"/>
    <n v="0.49375000000000002"/>
  </r>
  <r>
    <n v="714"/>
    <x v="59"/>
    <x v="1"/>
    <x v="1"/>
    <n v="480"/>
    <n v="31"/>
    <n v="1854"/>
    <n v="1812"/>
    <n v="42"/>
    <n v="12.6"/>
    <n v="449"/>
    <n v="0.93541666666666667"/>
    <n v="0.86712694877505558"/>
    <n v="0.97734627831715215"/>
    <n v="0.79274999999999995"/>
  </r>
  <r>
    <n v="715"/>
    <x v="59"/>
    <x v="1"/>
    <x v="2"/>
    <n v="480"/>
    <n v="152"/>
    <n v="1442"/>
    <n v="1404"/>
    <n v="38"/>
    <n v="13.2"/>
    <n v="328"/>
    <n v="0.68333333333333335"/>
    <n v="0.96719512195121937"/>
    <n v="0.97364771151178919"/>
    <n v="0.64349999999999996"/>
  </r>
  <r>
    <n v="716"/>
    <x v="59"/>
    <x v="1"/>
    <x v="3"/>
    <n v="480"/>
    <n v="51"/>
    <n v="1811"/>
    <n v="1745"/>
    <n v="66"/>
    <n v="13.8"/>
    <n v="429"/>
    <n v="0.89375000000000004"/>
    <n v="0.97093240093240107"/>
    <n v="0.96355604638321368"/>
    <n v="0.83614583333333348"/>
  </r>
  <r>
    <n v="717"/>
    <x v="59"/>
    <x v="2"/>
    <x v="0"/>
    <n v="480"/>
    <n v="0"/>
    <n v="1942"/>
    <n v="1879"/>
    <n v="63"/>
    <n v="12"/>
    <n v="480"/>
    <n v="1"/>
    <n v="0.8091666666666667"/>
    <n v="0.96755921730175076"/>
    <n v="0.78291666666666671"/>
  </r>
  <r>
    <n v="718"/>
    <x v="59"/>
    <x v="2"/>
    <x v="1"/>
    <n v="480"/>
    <n v="135"/>
    <n v="1420"/>
    <n v="1363"/>
    <n v="57"/>
    <n v="12.6"/>
    <n v="345"/>
    <n v="0.71875"/>
    <n v="0.86434782608695648"/>
    <n v="0.95985915492957752"/>
    <n v="0.59631250000000002"/>
  </r>
  <r>
    <n v="719"/>
    <x v="59"/>
    <x v="2"/>
    <x v="2"/>
    <n v="480"/>
    <n v="21"/>
    <n v="2039"/>
    <n v="1957"/>
    <n v="82"/>
    <n v="13.2"/>
    <n v="459"/>
    <n v="0.95625000000000004"/>
    <n v="0.97729847494553379"/>
    <n v="0.95978420794507113"/>
    <n v="0.89695833333333341"/>
  </r>
  <r>
    <n v="720"/>
    <x v="59"/>
    <x v="2"/>
    <x v="3"/>
    <n v="480"/>
    <n v="38"/>
    <n v="1655"/>
    <n v="1573"/>
    <n v="82"/>
    <n v="13.8"/>
    <n v="442"/>
    <n v="0.92083333333333328"/>
    <n v="0.86119909502262448"/>
    <n v="0.95045317220543801"/>
    <n v="0.75372916666666656"/>
  </r>
  <r>
    <n v="721"/>
    <x v="60"/>
    <x v="0"/>
    <x v="0"/>
    <n v="480"/>
    <n v="5"/>
    <n v="1903"/>
    <n v="1836"/>
    <n v="67"/>
    <n v="12"/>
    <n v="475"/>
    <n v="0.98958333333333337"/>
    <n v="0.80126315789473679"/>
    <n v="0.96479243300052553"/>
    <n v="0.76500000000000001"/>
  </r>
  <r>
    <n v="722"/>
    <x v="60"/>
    <x v="0"/>
    <x v="1"/>
    <n v="480"/>
    <n v="21"/>
    <n v="1863"/>
    <n v="1755"/>
    <n v="108"/>
    <n v="12.6"/>
    <n v="459"/>
    <n v="0.95625000000000004"/>
    <n v="0.85235294117647054"/>
    <n v="0.94202898550724634"/>
    <n v="0.76781250000000001"/>
  </r>
  <r>
    <n v="723"/>
    <x v="60"/>
    <x v="0"/>
    <x v="2"/>
    <n v="480"/>
    <n v="65"/>
    <n v="1576"/>
    <n v="1553"/>
    <n v="23"/>
    <n v="13.2"/>
    <n v="415"/>
    <n v="0.86458333333333337"/>
    <n v="0.83546987951807217"/>
    <n v="0.98540609137055835"/>
    <n v="0.7117916666666666"/>
  </r>
  <r>
    <n v="724"/>
    <x v="60"/>
    <x v="0"/>
    <x v="3"/>
    <n v="480"/>
    <n v="6"/>
    <n v="2003"/>
    <n v="1888"/>
    <n v="115"/>
    <n v="13.8"/>
    <n v="474"/>
    <n v="0.98750000000000004"/>
    <n v="0.97191983122362879"/>
    <n v="0.9425861208187718"/>
    <n v="0.90466666666666673"/>
  </r>
  <r>
    <n v="725"/>
    <x v="60"/>
    <x v="1"/>
    <x v="0"/>
    <n v="480"/>
    <n v="84"/>
    <n v="1686"/>
    <n v="1643"/>
    <n v="43"/>
    <n v="12"/>
    <n v="396"/>
    <n v="0.82499999999999996"/>
    <n v="0.85151515151515156"/>
    <n v="0.97449584816132861"/>
    <n v="0.68458333333333332"/>
  </r>
  <r>
    <n v="726"/>
    <x v="60"/>
    <x v="1"/>
    <x v="1"/>
    <n v="480"/>
    <n v="26"/>
    <n v="1797"/>
    <n v="1751"/>
    <n v="46"/>
    <n v="12.6"/>
    <n v="454"/>
    <n v="0.9458333333333333"/>
    <n v="0.83121145374449346"/>
    <n v="0.97440178074568728"/>
    <n v="0.76606250000000009"/>
  </r>
  <r>
    <n v="727"/>
    <x v="60"/>
    <x v="1"/>
    <x v="2"/>
    <n v="480"/>
    <n v="16"/>
    <n v="2054"/>
    <n v="1992"/>
    <n v="62"/>
    <n v="13.2"/>
    <n v="464"/>
    <n v="0.96666666666666667"/>
    <n v="0.97387931034482755"/>
    <n v="0.96981499513145086"/>
    <n v="0.91300000000000003"/>
  </r>
  <r>
    <n v="728"/>
    <x v="60"/>
    <x v="1"/>
    <x v="3"/>
    <n v="480"/>
    <n v="47"/>
    <n v="1670"/>
    <n v="1592"/>
    <n v="78"/>
    <n v="13.8"/>
    <n v="433"/>
    <n v="0.90208333333333335"/>
    <n v="0.88706697459584294"/>
    <n v="0.95329341317365268"/>
    <n v="0.76283333333333325"/>
  </r>
  <r>
    <n v="729"/>
    <x v="60"/>
    <x v="2"/>
    <x v="0"/>
    <n v="480"/>
    <n v="0"/>
    <n v="2264"/>
    <n v="2238"/>
    <n v="26"/>
    <n v="12"/>
    <n v="480"/>
    <n v="1"/>
    <n v="0.94333333333333336"/>
    <n v="0.9885159010600707"/>
    <n v="0.93250000000000011"/>
  </r>
  <r>
    <n v="730"/>
    <x v="60"/>
    <x v="2"/>
    <x v="1"/>
    <n v="480"/>
    <n v="146"/>
    <n v="1320"/>
    <n v="1266"/>
    <n v="54"/>
    <n v="12.6"/>
    <n v="334"/>
    <n v="0.6958333333333333"/>
    <n v="0.82994011976047899"/>
    <n v="0.95909090909090911"/>
    <n v="0.5538749999999999"/>
  </r>
  <r>
    <n v="731"/>
    <x v="60"/>
    <x v="2"/>
    <x v="2"/>
    <n v="480"/>
    <n v="12"/>
    <n v="1699"/>
    <n v="1648"/>
    <n v="51"/>
    <n v="13.2"/>
    <n v="468"/>
    <n v="0.97499999999999998"/>
    <n v="0.79867521367521366"/>
    <n v="0.96998234255444382"/>
    <n v="0.75533333333333341"/>
  </r>
  <r>
    <n v="732"/>
    <x v="60"/>
    <x v="2"/>
    <x v="3"/>
    <n v="480"/>
    <n v="9"/>
    <n v="1995"/>
    <n v="1880"/>
    <n v="115"/>
    <n v="13.8"/>
    <n v="471"/>
    <n v="0.98124999999999996"/>
    <n v="0.97420382165605091"/>
    <n v="0.94235588972431072"/>
    <n v="0.90083333333333315"/>
  </r>
  <r>
    <n v="733"/>
    <x v="61"/>
    <x v="0"/>
    <x v="0"/>
    <n v="480"/>
    <n v="17"/>
    <n v="1878"/>
    <n v="1812"/>
    <n v="66"/>
    <n v="12"/>
    <n v="463"/>
    <n v="0.96458333333333335"/>
    <n v="0.81123110151187905"/>
    <n v="0.96485623003194887"/>
    <n v="0.755"/>
  </r>
  <r>
    <n v="734"/>
    <x v="61"/>
    <x v="0"/>
    <x v="1"/>
    <n v="480"/>
    <n v="88"/>
    <n v="1541"/>
    <n v="1473"/>
    <n v="68"/>
    <n v="12.6"/>
    <n v="392"/>
    <n v="0.81666666666666665"/>
    <n v="0.82553571428571426"/>
    <n v="0.9558728098637248"/>
    <n v="0.64443749999999989"/>
  </r>
  <r>
    <n v="735"/>
    <x v="61"/>
    <x v="0"/>
    <x v="2"/>
    <n v="480"/>
    <n v="61"/>
    <n v="1860"/>
    <n v="1821"/>
    <n v="39"/>
    <n v="13.2"/>
    <n v="419"/>
    <n v="0.87291666666666667"/>
    <n v="0.97661097852028644"/>
    <n v="0.9790322580645161"/>
    <n v="0.83462500000000006"/>
  </r>
  <r>
    <n v="736"/>
    <x v="61"/>
    <x v="0"/>
    <x v="3"/>
    <n v="480"/>
    <n v="78"/>
    <n v="1668"/>
    <n v="1604"/>
    <n v="64"/>
    <n v="13.8"/>
    <n v="402"/>
    <n v="0.83750000000000002"/>
    <n v="0.95432835820895523"/>
    <n v="0.9616306954436451"/>
    <n v="0.7685833333333334"/>
  </r>
  <r>
    <n v="737"/>
    <x v="61"/>
    <x v="1"/>
    <x v="0"/>
    <n v="480"/>
    <n v="39"/>
    <n v="1909"/>
    <n v="1860"/>
    <n v="49"/>
    <n v="12"/>
    <n v="441"/>
    <n v="0.91874999999999996"/>
    <n v="0.86575963718820859"/>
    <n v="0.97433211105290729"/>
    <n v="0.77499999999999991"/>
  </r>
  <r>
    <n v="738"/>
    <x v="61"/>
    <x v="1"/>
    <x v="1"/>
    <n v="480"/>
    <n v="118"/>
    <n v="1636"/>
    <n v="1562"/>
    <n v="74"/>
    <n v="12.6"/>
    <n v="362"/>
    <n v="0.75416666666666665"/>
    <n v="0.94906077348066287"/>
    <n v="0.95476772616136918"/>
    <n v="0.68337499999999984"/>
  </r>
  <r>
    <n v="739"/>
    <x v="61"/>
    <x v="1"/>
    <x v="2"/>
    <n v="480"/>
    <n v="0"/>
    <n v="2025"/>
    <n v="1923"/>
    <n v="102"/>
    <n v="13.2"/>
    <n v="480"/>
    <n v="1"/>
    <n v="0.92812499999999998"/>
    <n v="0.9496296296296296"/>
    <n v="0.88137499999999991"/>
  </r>
  <r>
    <n v="740"/>
    <x v="61"/>
    <x v="1"/>
    <x v="3"/>
    <n v="480"/>
    <n v="53"/>
    <n v="1638"/>
    <n v="1569"/>
    <n v="69"/>
    <n v="13.8"/>
    <n v="427"/>
    <n v="0.88958333333333328"/>
    <n v="0.88229508196721318"/>
    <n v="0.95787545787545791"/>
    <n v="0.75181249999999999"/>
  </r>
  <r>
    <n v="741"/>
    <x v="61"/>
    <x v="2"/>
    <x v="0"/>
    <n v="480"/>
    <n v="11"/>
    <n v="2052"/>
    <n v="2018"/>
    <n v="34"/>
    <n v="12"/>
    <n v="469"/>
    <n v="0.9770833333333333"/>
    <n v="0.8750533049040512"/>
    <n v="0.98343079922027288"/>
    <n v="0.84083333333333332"/>
  </r>
  <r>
    <n v="742"/>
    <x v="61"/>
    <x v="2"/>
    <x v="1"/>
    <n v="480"/>
    <n v="25"/>
    <n v="1857"/>
    <n v="1829"/>
    <n v="28"/>
    <n v="12.6"/>
    <n v="455"/>
    <n v="0.94791666666666663"/>
    <n v="0.85707692307692307"/>
    <n v="0.98492191707054388"/>
    <n v="0.80018749999999994"/>
  </r>
  <r>
    <n v="743"/>
    <x v="61"/>
    <x v="2"/>
    <x v="2"/>
    <n v="480"/>
    <n v="88"/>
    <n v="1678"/>
    <n v="1602"/>
    <n v="76"/>
    <n v="13.2"/>
    <n v="392"/>
    <n v="0.81666666666666665"/>
    <n v="0.94173469387755093"/>
    <n v="0.95470798569725868"/>
    <n v="0.73424999999999996"/>
  </r>
  <r>
    <n v="744"/>
    <x v="61"/>
    <x v="2"/>
    <x v="3"/>
    <n v="480"/>
    <n v="0"/>
    <n v="1918"/>
    <n v="1873"/>
    <n v="45"/>
    <n v="13.8"/>
    <n v="480"/>
    <n v="1"/>
    <n v="0.91904166666666676"/>
    <n v="0.97653806047966629"/>
    <n v="0.89747916666666672"/>
  </r>
  <r>
    <n v="745"/>
    <x v="62"/>
    <x v="0"/>
    <x v="0"/>
    <n v="480"/>
    <n v="18"/>
    <n v="1880"/>
    <n v="1774"/>
    <n v="106"/>
    <n v="12"/>
    <n v="462"/>
    <n v="0.96250000000000002"/>
    <n v="0.81385281385281383"/>
    <n v="0.94361702127659575"/>
    <n v="0.73916666666666664"/>
  </r>
  <r>
    <n v="746"/>
    <x v="62"/>
    <x v="0"/>
    <x v="1"/>
    <n v="480"/>
    <n v="0"/>
    <n v="2080"/>
    <n v="1984"/>
    <n v="96"/>
    <n v="12.6"/>
    <n v="480"/>
    <n v="1"/>
    <n v="0.91"/>
    <n v="0.9538461538461539"/>
    <n v="0.8680000000000001"/>
  </r>
  <r>
    <n v="747"/>
    <x v="62"/>
    <x v="0"/>
    <x v="2"/>
    <n v="480"/>
    <n v="141"/>
    <n v="1478"/>
    <n v="1431"/>
    <n v="47"/>
    <n v="13.2"/>
    <n v="339"/>
    <n v="0.70625000000000004"/>
    <n v="0.95917404129793504"/>
    <n v="0.96820027063599456"/>
    <n v="0.65587499999999999"/>
  </r>
  <r>
    <n v="748"/>
    <x v="62"/>
    <x v="0"/>
    <x v="3"/>
    <n v="480"/>
    <n v="0"/>
    <n v="1739"/>
    <n v="1650"/>
    <n v="89"/>
    <n v="13.8"/>
    <n v="480"/>
    <n v="1"/>
    <n v="0.8332708333333334"/>
    <n v="0.94882116158711904"/>
    <n v="0.79062500000000002"/>
  </r>
  <r>
    <n v="749"/>
    <x v="62"/>
    <x v="1"/>
    <x v="0"/>
    <n v="480"/>
    <n v="37"/>
    <n v="1820"/>
    <n v="1754"/>
    <n v="66"/>
    <n v="12"/>
    <n v="443"/>
    <n v="0.92291666666666672"/>
    <n v="0.82167042889390518"/>
    <n v="0.96373626373626375"/>
    <n v="0.73083333333333345"/>
  </r>
  <r>
    <n v="750"/>
    <x v="62"/>
    <x v="1"/>
    <x v="1"/>
    <n v="480"/>
    <n v="0"/>
    <n v="2225"/>
    <n v="2163"/>
    <n v="62"/>
    <n v="12.6"/>
    <n v="480"/>
    <n v="1"/>
    <n v="0.97343749999999996"/>
    <n v="0.97213483146067414"/>
    <n v="0.94631249999999989"/>
  </r>
  <r>
    <n v="751"/>
    <x v="62"/>
    <x v="1"/>
    <x v="2"/>
    <n v="480"/>
    <n v="32"/>
    <n v="1862"/>
    <n v="1819"/>
    <n v="43"/>
    <n v="13.2"/>
    <n v="448"/>
    <n v="0.93333333333333335"/>
    <n v="0.91437499999999994"/>
    <n v="0.97690655209452204"/>
    <n v="0.83370833333333327"/>
  </r>
  <r>
    <n v="752"/>
    <x v="62"/>
    <x v="1"/>
    <x v="3"/>
    <n v="480"/>
    <n v="5"/>
    <n v="1832"/>
    <n v="1735"/>
    <n v="97"/>
    <n v="13.8"/>
    <n v="475"/>
    <n v="0.98958333333333337"/>
    <n v="0.88707368421052635"/>
    <n v="0.94705240174672489"/>
    <n v="0.83135416666666673"/>
  </r>
  <r>
    <n v="753"/>
    <x v="62"/>
    <x v="2"/>
    <x v="0"/>
    <n v="480"/>
    <n v="54"/>
    <n v="1803"/>
    <n v="1710"/>
    <n v="93"/>
    <n v="12"/>
    <n v="426"/>
    <n v="0.88749999999999996"/>
    <n v="0.8464788732394366"/>
    <n v="0.9484193011647255"/>
    <n v="0.71250000000000002"/>
  </r>
  <r>
    <n v="754"/>
    <x v="62"/>
    <x v="2"/>
    <x v="1"/>
    <n v="480"/>
    <n v="5"/>
    <n v="1749"/>
    <n v="1652"/>
    <n v="97"/>
    <n v="12.6"/>
    <n v="475"/>
    <n v="0.98958333333333337"/>
    <n v="0.77324210526315784"/>
    <n v="0.94453973699256721"/>
    <n v="0.72275"/>
  </r>
  <r>
    <n v="755"/>
    <x v="62"/>
    <x v="2"/>
    <x v="2"/>
    <n v="480"/>
    <n v="43"/>
    <n v="1531"/>
    <n v="1458"/>
    <n v="73"/>
    <n v="13.2"/>
    <n v="437"/>
    <n v="0.91041666666666665"/>
    <n v="0.77075514874141882"/>
    <n v="0.95231874591770083"/>
    <n v="0.66825000000000001"/>
  </r>
  <r>
    <n v="756"/>
    <x v="62"/>
    <x v="2"/>
    <x v="3"/>
    <n v="480"/>
    <n v="9"/>
    <n v="1562"/>
    <n v="1501"/>
    <n v="61"/>
    <n v="13.8"/>
    <n v="471"/>
    <n v="0.98124999999999996"/>
    <n v="0.76276008492569014"/>
    <n v="0.96094750320102429"/>
    <n v="0.7192291666666667"/>
  </r>
  <r>
    <n v="757"/>
    <x v="63"/>
    <x v="0"/>
    <x v="0"/>
    <n v="480"/>
    <n v="38"/>
    <n v="2074"/>
    <n v="2020"/>
    <n v="54"/>
    <n v="12"/>
    <n v="442"/>
    <n v="0.92083333333333328"/>
    <n v="0.93846153846153846"/>
    <n v="0.97396335583413696"/>
    <n v="0.84166666666666667"/>
  </r>
  <r>
    <n v="758"/>
    <x v="63"/>
    <x v="0"/>
    <x v="1"/>
    <n v="480"/>
    <n v="5"/>
    <n v="2078"/>
    <n v="1993"/>
    <n v="85"/>
    <n v="12.6"/>
    <n v="475"/>
    <n v="0.98958333333333337"/>
    <n v="0.91869473684210523"/>
    <n v="0.95909528392685273"/>
    <n v="0.87193749999999992"/>
  </r>
  <r>
    <n v="759"/>
    <x v="63"/>
    <x v="0"/>
    <x v="2"/>
    <n v="480"/>
    <n v="137"/>
    <n v="1394"/>
    <n v="1368"/>
    <n v="26"/>
    <n v="13.2"/>
    <n v="343"/>
    <n v="0.71458333333333335"/>
    <n v="0.89411078717201165"/>
    <n v="0.9813486370157819"/>
    <n v="0.627"/>
  </r>
  <r>
    <n v="760"/>
    <x v="63"/>
    <x v="0"/>
    <x v="3"/>
    <n v="480"/>
    <n v="0"/>
    <n v="1955"/>
    <n v="1879"/>
    <n v="76"/>
    <n v="13.8"/>
    <n v="480"/>
    <n v="1"/>
    <n v="0.93677083333333333"/>
    <n v="0.96112531969309467"/>
    <n v="0.90035416666666668"/>
  </r>
  <r>
    <n v="761"/>
    <x v="63"/>
    <x v="1"/>
    <x v="0"/>
    <n v="480"/>
    <n v="284"/>
    <n v="772"/>
    <n v="737"/>
    <n v="35"/>
    <n v="12"/>
    <n v="196"/>
    <n v="0.40833333333333333"/>
    <n v="0.78775510204081634"/>
    <n v="0.95466321243523311"/>
    <n v="0.30708333333333332"/>
  </r>
  <r>
    <n v="762"/>
    <x v="63"/>
    <x v="1"/>
    <x v="1"/>
    <n v="480"/>
    <n v="0"/>
    <n v="1838"/>
    <n v="1775"/>
    <n v="63"/>
    <n v="12.6"/>
    <n v="480"/>
    <n v="1"/>
    <n v="0.80412499999999998"/>
    <n v="0.96572361262241568"/>
    <n v="0.77656250000000004"/>
  </r>
  <r>
    <n v="763"/>
    <x v="63"/>
    <x v="1"/>
    <x v="2"/>
    <n v="480"/>
    <n v="64"/>
    <n v="1635"/>
    <n v="1545"/>
    <n v="90"/>
    <n v="13.2"/>
    <n v="416"/>
    <n v="0.8666666666666667"/>
    <n v="0.86466346153846152"/>
    <n v="0.94495412844036697"/>
    <n v="0.708125"/>
  </r>
  <r>
    <n v="764"/>
    <x v="63"/>
    <x v="1"/>
    <x v="3"/>
    <n v="480"/>
    <n v="0"/>
    <n v="1875"/>
    <n v="1835"/>
    <n v="40"/>
    <n v="13.8"/>
    <n v="480"/>
    <n v="1"/>
    <n v="0.8984375"/>
    <n v="0.97866666666666668"/>
    <n v="0.87927083333333333"/>
  </r>
  <r>
    <n v="765"/>
    <x v="63"/>
    <x v="2"/>
    <x v="0"/>
    <n v="480"/>
    <n v="0"/>
    <n v="2177"/>
    <n v="2091"/>
    <n v="86"/>
    <n v="12"/>
    <n v="480"/>
    <n v="1"/>
    <n v="0.90708333333333335"/>
    <n v="0.96049609554432702"/>
    <n v="0.87124999999999997"/>
  </r>
  <r>
    <n v="766"/>
    <x v="63"/>
    <x v="2"/>
    <x v="1"/>
    <n v="480"/>
    <n v="97"/>
    <n v="1516"/>
    <n v="1459"/>
    <n v="57"/>
    <n v="12.6"/>
    <n v="383"/>
    <n v="0.79791666666666672"/>
    <n v="0.83122715404699732"/>
    <n v="0.96240105540897103"/>
    <n v="0.63831250000000006"/>
  </r>
  <r>
    <n v="767"/>
    <x v="63"/>
    <x v="2"/>
    <x v="2"/>
    <n v="480"/>
    <n v="76"/>
    <n v="1448"/>
    <n v="1364"/>
    <n v="84"/>
    <n v="13.2"/>
    <n v="404"/>
    <n v="0.84166666666666667"/>
    <n v="0.78851485148514844"/>
    <n v="0.94198895027624308"/>
    <n v="0.62516666666666665"/>
  </r>
  <r>
    <n v="768"/>
    <x v="63"/>
    <x v="2"/>
    <x v="3"/>
    <n v="480"/>
    <n v="46"/>
    <n v="1760"/>
    <n v="1730"/>
    <n v="30"/>
    <n v="13.8"/>
    <n v="434"/>
    <n v="0.90416666666666667"/>
    <n v="0.93271889400921659"/>
    <n v="0.98295454545454541"/>
    <n v="0.82895833333333335"/>
  </r>
  <r>
    <n v="769"/>
    <x v="64"/>
    <x v="0"/>
    <x v="0"/>
    <n v="480"/>
    <n v="0"/>
    <n v="2155"/>
    <n v="2113"/>
    <n v="42"/>
    <n v="12"/>
    <n v="480"/>
    <n v="1"/>
    <n v="0.8979166666666667"/>
    <n v="0.98051044083526684"/>
    <n v="0.88041666666666674"/>
  </r>
  <r>
    <n v="770"/>
    <x v="64"/>
    <x v="0"/>
    <x v="1"/>
    <n v="480"/>
    <n v="0"/>
    <n v="1802"/>
    <n v="1701"/>
    <n v="101"/>
    <n v="12.6"/>
    <n v="480"/>
    <n v="1"/>
    <n v="0.78837500000000005"/>
    <n v="0.94395116537180912"/>
    <n v="0.74418750000000011"/>
  </r>
  <r>
    <n v="771"/>
    <x v="64"/>
    <x v="0"/>
    <x v="2"/>
    <n v="480"/>
    <n v="51"/>
    <n v="1581"/>
    <n v="1563"/>
    <n v="18"/>
    <n v="13.2"/>
    <n v="429"/>
    <n v="0.89375000000000004"/>
    <n v="0.81076923076923069"/>
    <n v="0.98861480075901331"/>
    <n v="0.71637499999999998"/>
  </r>
  <r>
    <n v="772"/>
    <x v="64"/>
    <x v="0"/>
    <x v="3"/>
    <n v="480"/>
    <n v="297"/>
    <n v="722"/>
    <n v="706"/>
    <n v="16"/>
    <n v="13.8"/>
    <n v="183"/>
    <n v="0.38124999999999998"/>
    <n v="0.90743169398907109"/>
    <n v="0.97783933518005539"/>
    <n v="0.33829166666666666"/>
  </r>
  <r>
    <n v="773"/>
    <x v="64"/>
    <x v="1"/>
    <x v="0"/>
    <n v="480"/>
    <n v="36"/>
    <n v="1860"/>
    <n v="1783"/>
    <n v="77"/>
    <n v="12"/>
    <n v="444"/>
    <n v="0.92500000000000004"/>
    <n v="0.83783783783783783"/>
    <n v="0.95860215053763442"/>
    <n v="0.74291666666666667"/>
  </r>
  <r>
    <n v="774"/>
    <x v="64"/>
    <x v="1"/>
    <x v="1"/>
    <n v="480"/>
    <n v="64"/>
    <n v="1912"/>
    <n v="1803"/>
    <n v="109"/>
    <n v="12.6"/>
    <n v="416"/>
    <n v="0.8666666666666667"/>
    <n v="0.96519230769230768"/>
    <n v="0.94299163179916323"/>
    <n v="0.78881250000000003"/>
  </r>
  <r>
    <n v="775"/>
    <x v="64"/>
    <x v="1"/>
    <x v="2"/>
    <n v="480"/>
    <n v="0"/>
    <n v="2075"/>
    <n v="1978"/>
    <n v="97"/>
    <n v="13.2"/>
    <n v="480"/>
    <n v="1"/>
    <n v="0.95104166666666667"/>
    <n v="0.95325301204819279"/>
    <n v="0.90658333333333341"/>
  </r>
  <r>
    <n v="776"/>
    <x v="64"/>
    <x v="1"/>
    <x v="3"/>
    <n v="480"/>
    <n v="109"/>
    <n v="1444"/>
    <n v="1378"/>
    <n v="66"/>
    <n v="13.8"/>
    <n v="371"/>
    <n v="0.7729166666666667"/>
    <n v="0.89520215633423184"/>
    <n v="0.95429362880886426"/>
    <n v="0.66029166666666672"/>
  </r>
  <r>
    <n v="777"/>
    <x v="64"/>
    <x v="2"/>
    <x v="0"/>
    <n v="480"/>
    <n v="21"/>
    <n v="2052"/>
    <n v="2017"/>
    <n v="35"/>
    <n v="12"/>
    <n v="459"/>
    <n v="0.95625000000000004"/>
    <n v="0.89411764705882357"/>
    <n v="0.98294346978557501"/>
    <n v="0.8404166666666667"/>
  </r>
  <r>
    <n v="778"/>
    <x v="64"/>
    <x v="2"/>
    <x v="1"/>
    <n v="480"/>
    <n v="15"/>
    <n v="1964"/>
    <n v="1934"/>
    <n v="30"/>
    <n v="12.6"/>
    <n v="465"/>
    <n v="0.96875"/>
    <n v="0.88696774193548378"/>
    <n v="0.98472505091649698"/>
    <n v="0.84612500000000002"/>
  </r>
  <r>
    <n v="779"/>
    <x v="64"/>
    <x v="2"/>
    <x v="2"/>
    <n v="480"/>
    <n v="0"/>
    <n v="2092"/>
    <n v="2043"/>
    <n v="49"/>
    <n v="13.2"/>
    <n v="480"/>
    <n v="1"/>
    <n v="0.9588333333333332"/>
    <n v="0.97657743785850859"/>
    <n v="0.93637499999999985"/>
  </r>
  <r>
    <n v="780"/>
    <x v="64"/>
    <x v="2"/>
    <x v="3"/>
    <n v="480"/>
    <n v="196"/>
    <n v="1068"/>
    <n v="1015"/>
    <n v="53"/>
    <n v="13.8"/>
    <n v="284"/>
    <n v="0.59166666666666667"/>
    <n v="0.86492957746478882"/>
    <n v="0.95037453183520604"/>
    <n v="0.4863541666666667"/>
  </r>
  <r>
    <n v="781"/>
    <x v="65"/>
    <x v="0"/>
    <x v="0"/>
    <n v="480"/>
    <n v="0"/>
    <n v="2339"/>
    <n v="2203"/>
    <n v="136"/>
    <n v="12"/>
    <n v="480"/>
    <n v="1"/>
    <n v="0.97458333333333336"/>
    <n v="0.94185549380076961"/>
    <n v="0.91791666666666671"/>
  </r>
  <r>
    <n v="782"/>
    <x v="65"/>
    <x v="0"/>
    <x v="1"/>
    <n v="480"/>
    <n v="0"/>
    <n v="1871"/>
    <n v="1843"/>
    <n v="28"/>
    <n v="12.6"/>
    <n v="480"/>
    <n v="1"/>
    <n v="0.81856249999999997"/>
    <n v="0.98503474078033137"/>
    <n v="0.80631249999999999"/>
  </r>
  <r>
    <n v="783"/>
    <x v="65"/>
    <x v="0"/>
    <x v="2"/>
    <n v="480"/>
    <n v="5"/>
    <n v="1789"/>
    <n v="1684"/>
    <n v="105"/>
    <n v="13.2"/>
    <n v="475"/>
    <n v="0.98958333333333337"/>
    <n v="0.82858947368421054"/>
    <n v="0.94130799329234205"/>
    <n v="0.77183333333333326"/>
  </r>
  <r>
    <n v="784"/>
    <x v="65"/>
    <x v="0"/>
    <x v="3"/>
    <n v="480"/>
    <n v="108"/>
    <n v="1234"/>
    <n v="1215"/>
    <n v="19"/>
    <n v="13.8"/>
    <n v="372"/>
    <n v="0.77500000000000002"/>
    <n v="0.76295698924731181"/>
    <n v="0.98460291734197736"/>
    <n v="0.58218749999999997"/>
  </r>
  <r>
    <n v="785"/>
    <x v="65"/>
    <x v="1"/>
    <x v="0"/>
    <n v="480"/>
    <n v="79"/>
    <n v="1963"/>
    <n v="1897"/>
    <n v="66"/>
    <n v="12"/>
    <n v="401"/>
    <n v="0.8354166666666667"/>
    <n v="0.97905236907730675"/>
    <n v="0.96637799286805914"/>
    <n v="0.79041666666666677"/>
  </r>
  <r>
    <n v="786"/>
    <x v="65"/>
    <x v="1"/>
    <x v="1"/>
    <n v="480"/>
    <n v="47"/>
    <n v="1590"/>
    <n v="1573"/>
    <n v="17"/>
    <n v="12.6"/>
    <n v="433"/>
    <n v="0.90208333333333335"/>
    <n v="0.77113163972286369"/>
    <n v="0.98930817610062893"/>
    <n v="0.68818749999999995"/>
  </r>
  <r>
    <n v="787"/>
    <x v="65"/>
    <x v="1"/>
    <x v="2"/>
    <n v="480"/>
    <n v="59"/>
    <n v="1576"/>
    <n v="1521"/>
    <n v="55"/>
    <n v="13.2"/>
    <n v="421"/>
    <n v="0.87708333333333333"/>
    <n v="0.82356294536817087"/>
    <n v="0.96510152284263961"/>
    <n v="0.69712499999999988"/>
  </r>
  <r>
    <n v="788"/>
    <x v="65"/>
    <x v="1"/>
    <x v="3"/>
    <n v="480"/>
    <n v="0"/>
    <n v="2025"/>
    <n v="1919"/>
    <n v="106"/>
    <n v="13.8"/>
    <n v="480"/>
    <n v="1"/>
    <n v="0.97031250000000002"/>
    <n v="0.94765432098765434"/>
    <n v="0.91952083333333334"/>
  </r>
  <r>
    <n v="789"/>
    <x v="65"/>
    <x v="2"/>
    <x v="0"/>
    <n v="480"/>
    <n v="22"/>
    <n v="1940"/>
    <n v="1851"/>
    <n v="89"/>
    <n v="12"/>
    <n v="458"/>
    <n v="0.95416666666666672"/>
    <n v="0.84716157205240172"/>
    <n v="0.95412371134020624"/>
    <n v="0.7712500000000001"/>
  </r>
  <r>
    <n v="790"/>
    <x v="65"/>
    <x v="2"/>
    <x v="1"/>
    <n v="480"/>
    <n v="25"/>
    <n v="1937"/>
    <n v="1838"/>
    <n v="99"/>
    <n v="12.6"/>
    <n v="455"/>
    <n v="0.94791666666666663"/>
    <n v="0.89400000000000002"/>
    <n v="0.94889003613835832"/>
    <n v="0.80412499999999998"/>
  </r>
  <r>
    <n v="791"/>
    <x v="65"/>
    <x v="2"/>
    <x v="2"/>
    <n v="480"/>
    <n v="27"/>
    <n v="1756"/>
    <n v="1696"/>
    <n v="60"/>
    <n v="13.2"/>
    <n v="453"/>
    <n v="0.94374999999999998"/>
    <n v="0.85280353200882997"/>
    <n v="0.96583143507972669"/>
    <n v="0.77733333333333332"/>
  </r>
  <r>
    <n v="792"/>
    <x v="65"/>
    <x v="2"/>
    <x v="3"/>
    <n v="480"/>
    <n v="0"/>
    <n v="1866"/>
    <n v="1814"/>
    <n v="52"/>
    <n v="13.8"/>
    <n v="480"/>
    <n v="1"/>
    <n v="0.89412500000000006"/>
    <n v="0.97213290460878887"/>
    <n v="0.86920833333333336"/>
  </r>
  <r>
    <n v="793"/>
    <x v="66"/>
    <x v="0"/>
    <x v="0"/>
    <n v="480"/>
    <n v="78"/>
    <n v="1596"/>
    <n v="1544"/>
    <n v="52"/>
    <n v="12"/>
    <n v="402"/>
    <n v="0.83750000000000002"/>
    <n v="0.79402985074626864"/>
    <n v="0.96741854636591473"/>
    <n v="0.64333333333333331"/>
  </r>
  <r>
    <n v="794"/>
    <x v="66"/>
    <x v="0"/>
    <x v="1"/>
    <n v="480"/>
    <n v="68"/>
    <n v="1529"/>
    <n v="1485"/>
    <n v="44"/>
    <n v="12.6"/>
    <n v="412"/>
    <n v="0.85833333333333328"/>
    <n v="0.7793446601941747"/>
    <n v="0.97122302158273377"/>
    <n v="0.64968749999999997"/>
  </r>
  <r>
    <n v="795"/>
    <x v="66"/>
    <x v="0"/>
    <x v="2"/>
    <n v="480"/>
    <n v="0"/>
    <n v="1948"/>
    <n v="1885"/>
    <n v="63"/>
    <n v="13.2"/>
    <n v="480"/>
    <n v="1"/>
    <n v="0.89283333333333326"/>
    <n v="0.96765913757700206"/>
    <n v="0.86395833333333327"/>
  </r>
  <r>
    <n v="796"/>
    <x v="66"/>
    <x v="0"/>
    <x v="3"/>
    <n v="480"/>
    <n v="23"/>
    <n v="1913"/>
    <n v="1826"/>
    <n v="87"/>
    <n v="13.8"/>
    <n v="457"/>
    <n v="0.95208333333333328"/>
    <n v="0.96277899343544859"/>
    <n v="0.95452169367485629"/>
    <n v="0.87495833333333328"/>
  </r>
  <r>
    <n v="797"/>
    <x v="66"/>
    <x v="1"/>
    <x v="0"/>
    <n v="480"/>
    <n v="187"/>
    <n v="1323"/>
    <n v="1291"/>
    <n v="32"/>
    <n v="12"/>
    <n v="293"/>
    <n v="0.61041666666666672"/>
    <n v="0.90307167235494878"/>
    <n v="0.97581254724111866"/>
    <n v="0.53791666666666671"/>
  </r>
  <r>
    <n v="798"/>
    <x v="66"/>
    <x v="1"/>
    <x v="1"/>
    <n v="480"/>
    <n v="11"/>
    <n v="2007"/>
    <n v="1963"/>
    <n v="44"/>
    <n v="12.6"/>
    <n v="469"/>
    <n v="0.9770833333333333"/>
    <n v="0.89865671641791045"/>
    <n v="0.9780767314399601"/>
    <n v="0.85881249999999998"/>
  </r>
  <r>
    <n v="799"/>
    <x v="66"/>
    <x v="1"/>
    <x v="2"/>
    <n v="480"/>
    <n v="250"/>
    <n v="841"/>
    <n v="821"/>
    <n v="20"/>
    <n v="13.2"/>
    <n v="230"/>
    <n v="0.47916666666666669"/>
    <n v="0.80443478260869561"/>
    <n v="0.97621878715814503"/>
    <n v="0.37629166666666669"/>
  </r>
  <r>
    <n v="800"/>
    <x v="66"/>
    <x v="1"/>
    <x v="3"/>
    <n v="480"/>
    <n v="95"/>
    <n v="1627"/>
    <n v="1583"/>
    <n v="44"/>
    <n v="13.8"/>
    <n v="385"/>
    <n v="0.80208333333333337"/>
    <n v="0.97197402597402605"/>
    <n v="0.97295636140135222"/>
    <n v="0.75852083333333342"/>
  </r>
  <r>
    <n v="801"/>
    <x v="66"/>
    <x v="2"/>
    <x v="0"/>
    <n v="480"/>
    <n v="52"/>
    <n v="1677"/>
    <n v="1647"/>
    <n v="30"/>
    <n v="12"/>
    <n v="428"/>
    <n v="0.89166666666666672"/>
    <n v="0.78364485981308407"/>
    <n v="0.98211091234347048"/>
    <n v="0.68625000000000003"/>
  </r>
  <r>
    <n v="802"/>
    <x v="66"/>
    <x v="2"/>
    <x v="1"/>
    <n v="480"/>
    <n v="40"/>
    <n v="1962"/>
    <n v="1904"/>
    <n v="58"/>
    <n v="12.6"/>
    <n v="440"/>
    <n v="0.91666666666666663"/>
    <n v="0.93640909090909097"/>
    <n v="0.97043832823649334"/>
    <n v="0.83299999999999996"/>
  </r>
  <r>
    <n v="803"/>
    <x v="66"/>
    <x v="2"/>
    <x v="2"/>
    <n v="480"/>
    <n v="206"/>
    <n v="991"/>
    <n v="942"/>
    <n v="49"/>
    <n v="13.2"/>
    <n v="274"/>
    <n v="0.5708333333333333"/>
    <n v="0.79569343065693421"/>
    <n v="0.95055499495459128"/>
    <n v="0.43174999999999991"/>
  </r>
  <r>
    <n v="804"/>
    <x v="66"/>
    <x v="2"/>
    <x v="3"/>
    <n v="480"/>
    <n v="199"/>
    <n v="928"/>
    <n v="913"/>
    <n v="15"/>
    <n v="13.8"/>
    <n v="281"/>
    <n v="0.5854166666666667"/>
    <n v="0.7595729537366549"/>
    <n v="0.98383620689655171"/>
    <n v="0.43747916666666675"/>
  </r>
  <r>
    <n v="805"/>
    <x v="67"/>
    <x v="0"/>
    <x v="0"/>
    <n v="480"/>
    <n v="0"/>
    <n v="2112"/>
    <n v="1993"/>
    <n v="119"/>
    <n v="12"/>
    <n v="480"/>
    <n v="1"/>
    <n v="0.88"/>
    <n v="0.94365530303030298"/>
    <n v="0.83041666666666658"/>
  </r>
  <r>
    <n v="806"/>
    <x v="67"/>
    <x v="0"/>
    <x v="1"/>
    <n v="480"/>
    <n v="17"/>
    <n v="2000"/>
    <n v="1930"/>
    <n v="70"/>
    <n v="12.6"/>
    <n v="463"/>
    <n v="0.96458333333333335"/>
    <n v="0.90712742980561556"/>
    <n v="0.96499999999999997"/>
    <n v="0.84437499999999999"/>
  </r>
  <r>
    <n v="807"/>
    <x v="67"/>
    <x v="0"/>
    <x v="2"/>
    <n v="480"/>
    <n v="28"/>
    <n v="1615"/>
    <n v="1522"/>
    <n v="93"/>
    <n v="13.2"/>
    <n v="452"/>
    <n v="0.94166666666666665"/>
    <n v="0.78606194690265485"/>
    <n v="0.94241486068111457"/>
    <n v="0.69758333333333333"/>
  </r>
  <r>
    <n v="808"/>
    <x v="67"/>
    <x v="0"/>
    <x v="3"/>
    <n v="480"/>
    <n v="8"/>
    <n v="1918"/>
    <n v="1821"/>
    <n v="97"/>
    <n v="13.8"/>
    <n v="472"/>
    <n v="0.98333333333333328"/>
    <n v="0.93461864406779671"/>
    <n v="0.94942648592283629"/>
    <n v="0.87256250000000013"/>
  </r>
  <r>
    <n v="809"/>
    <x v="67"/>
    <x v="1"/>
    <x v="0"/>
    <n v="480"/>
    <n v="78"/>
    <n v="1903"/>
    <n v="1875"/>
    <n v="28"/>
    <n v="12"/>
    <n v="402"/>
    <n v="0.83750000000000002"/>
    <n v="0.94676616915422884"/>
    <n v="0.98528638991066742"/>
    <n v="0.78125000000000011"/>
  </r>
  <r>
    <n v="810"/>
    <x v="67"/>
    <x v="1"/>
    <x v="1"/>
    <n v="480"/>
    <n v="0"/>
    <n v="1852"/>
    <n v="1753"/>
    <n v="99"/>
    <n v="12.6"/>
    <n v="480"/>
    <n v="1"/>
    <n v="0.81025000000000003"/>
    <n v="0.94654427645788342"/>
    <n v="0.76693750000000005"/>
  </r>
  <r>
    <n v="811"/>
    <x v="67"/>
    <x v="1"/>
    <x v="2"/>
    <n v="480"/>
    <n v="0"/>
    <n v="1997"/>
    <n v="1967"/>
    <n v="30"/>
    <n v="13.2"/>
    <n v="480"/>
    <n v="1"/>
    <n v="0.91529166666666661"/>
    <n v="0.98497746619929893"/>
    <n v="0.90154166666666657"/>
  </r>
  <r>
    <n v="812"/>
    <x v="67"/>
    <x v="1"/>
    <x v="3"/>
    <n v="480"/>
    <n v="5"/>
    <n v="1852"/>
    <n v="1812"/>
    <n v="40"/>
    <n v="13.8"/>
    <n v="475"/>
    <n v="0.98958333333333337"/>
    <n v="0.8967578947368422"/>
    <n v="0.97840172786177104"/>
    <n v="0.86825000000000008"/>
  </r>
  <r>
    <n v="813"/>
    <x v="67"/>
    <x v="2"/>
    <x v="0"/>
    <n v="480"/>
    <n v="47"/>
    <n v="1703"/>
    <n v="1627"/>
    <n v="76"/>
    <n v="12"/>
    <n v="433"/>
    <n v="0.90208333333333335"/>
    <n v="0.78660508083140879"/>
    <n v="0.95537287140340577"/>
    <n v="0.67791666666666672"/>
  </r>
  <r>
    <n v="814"/>
    <x v="67"/>
    <x v="2"/>
    <x v="1"/>
    <n v="480"/>
    <n v="33"/>
    <n v="2054"/>
    <n v="1981"/>
    <n v="73"/>
    <n v="12.6"/>
    <n v="447"/>
    <n v="0.93125000000000002"/>
    <n v="0.96496644295302003"/>
    <n v="0.96445959104186951"/>
    <n v="0.86668749999999994"/>
  </r>
  <r>
    <n v="815"/>
    <x v="67"/>
    <x v="2"/>
    <x v="2"/>
    <n v="480"/>
    <n v="23"/>
    <n v="1962"/>
    <n v="1861"/>
    <n v="101"/>
    <n v="13.2"/>
    <n v="457"/>
    <n v="0.95208333333333328"/>
    <n v="0.94450765864332598"/>
    <n v="0.94852191641182471"/>
    <n v="0.85295833333333326"/>
  </r>
  <r>
    <n v="816"/>
    <x v="67"/>
    <x v="2"/>
    <x v="3"/>
    <n v="480"/>
    <n v="17"/>
    <n v="1620"/>
    <n v="1540"/>
    <n v="80"/>
    <n v="13.8"/>
    <n v="463"/>
    <n v="0.96458333333333335"/>
    <n v="0.80475161987041033"/>
    <n v="0.95061728395061729"/>
    <n v="0.73791666666666667"/>
  </r>
  <r>
    <n v="817"/>
    <x v="68"/>
    <x v="0"/>
    <x v="0"/>
    <n v="480"/>
    <n v="12"/>
    <n v="2265"/>
    <n v="2208"/>
    <n v="57"/>
    <n v="12"/>
    <n v="468"/>
    <n v="0.97499999999999998"/>
    <n v="0.96794871794871795"/>
    <n v="0.97483443708609274"/>
    <n v="0.92"/>
  </r>
  <r>
    <n v="818"/>
    <x v="68"/>
    <x v="0"/>
    <x v="1"/>
    <n v="480"/>
    <n v="0"/>
    <n v="1956"/>
    <n v="1907"/>
    <n v="49"/>
    <n v="12.6"/>
    <n v="480"/>
    <n v="1"/>
    <n v="0.8557499999999999"/>
    <n v="0.97494887525562368"/>
    <n v="0.8343124999999999"/>
  </r>
  <r>
    <n v="819"/>
    <x v="68"/>
    <x v="0"/>
    <x v="2"/>
    <n v="480"/>
    <n v="0"/>
    <n v="1798"/>
    <n v="1732"/>
    <n v="66"/>
    <n v="13.2"/>
    <n v="480"/>
    <n v="1"/>
    <n v="0.82408333333333328"/>
    <n v="0.96329254727474967"/>
    <n v="0.79383333333333328"/>
  </r>
  <r>
    <n v="820"/>
    <x v="68"/>
    <x v="0"/>
    <x v="3"/>
    <n v="480"/>
    <n v="67"/>
    <n v="1502"/>
    <n v="1468"/>
    <n v="34"/>
    <n v="13.8"/>
    <n v="413"/>
    <n v="0.86041666666666672"/>
    <n v="0.83646489104116228"/>
    <n v="0.9773635153129161"/>
    <n v="0.70341666666666669"/>
  </r>
  <r>
    <n v="821"/>
    <x v="68"/>
    <x v="1"/>
    <x v="0"/>
    <n v="480"/>
    <n v="5"/>
    <n v="2168"/>
    <n v="2145"/>
    <n v="23"/>
    <n v="12"/>
    <n v="475"/>
    <n v="0.98958333333333337"/>
    <n v="0.9128421052631579"/>
    <n v="0.98939114391143912"/>
    <n v="0.89375000000000004"/>
  </r>
  <r>
    <n v="822"/>
    <x v="68"/>
    <x v="1"/>
    <x v="1"/>
    <n v="480"/>
    <n v="10"/>
    <n v="2117"/>
    <n v="2075"/>
    <n v="42"/>
    <n v="12.6"/>
    <n v="470"/>
    <n v="0.97916666666666663"/>
    <n v="0.94589361702127661"/>
    <n v="0.9801606046291923"/>
    <n v="0.90781250000000002"/>
  </r>
  <r>
    <n v="823"/>
    <x v="68"/>
    <x v="1"/>
    <x v="2"/>
    <n v="480"/>
    <n v="114"/>
    <n v="1436"/>
    <n v="1416"/>
    <n v="20"/>
    <n v="13.2"/>
    <n v="366"/>
    <n v="0.76249999999999996"/>
    <n v="0.86316939890710387"/>
    <n v="0.98607242339832868"/>
    <n v="0.64900000000000002"/>
  </r>
  <r>
    <n v="824"/>
    <x v="68"/>
    <x v="1"/>
    <x v="3"/>
    <n v="480"/>
    <n v="0"/>
    <n v="2018"/>
    <n v="1900"/>
    <n v="118"/>
    <n v="13.8"/>
    <n v="480"/>
    <n v="1"/>
    <n v="0.96695833333333336"/>
    <n v="0.94152626362735381"/>
    <n v="0.91041666666666665"/>
  </r>
  <r>
    <n v="825"/>
    <x v="68"/>
    <x v="2"/>
    <x v="0"/>
    <n v="480"/>
    <n v="189"/>
    <n v="1179"/>
    <n v="1128"/>
    <n v="51"/>
    <n v="12"/>
    <n v="291"/>
    <n v="0.60624999999999996"/>
    <n v="0.81030927835051547"/>
    <n v="0.95674300254452926"/>
    <n v="0.47"/>
  </r>
  <r>
    <n v="826"/>
    <x v="68"/>
    <x v="2"/>
    <x v="1"/>
    <n v="480"/>
    <n v="0"/>
    <n v="1774"/>
    <n v="1756"/>
    <n v="18"/>
    <n v="12.6"/>
    <n v="480"/>
    <n v="1"/>
    <n v="0.77612499999999995"/>
    <n v="0.98985343855693353"/>
    <n v="0.76824999999999999"/>
  </r>
  <r>
    <n v="827"/>
    <x v="68"/>
    <x v="2"/>
    <x v="2"/>
    <n v="480"/>
    <n v="53"/>
    <n v="1638"/>
    <n v="1546"/>
    <n v="92"/>
    <n v="13.2"/>
    <n v="427"/>
    <n v="0.88958333333333328"/>
    <n v="0.84393442622950809"/>
    <n v="0.94383394383394381"/>
    <n v="0.70858333333333323"/>
  </r>
  <r>
    <n v="828"/>
    <x v="68"/>
    <x v="2"/>
    <x v="3"/>
    <n v="480"/>
    <n v="111"/>
    <n v="1433"/>
    <n v="1351"/>
    <n v="82"/>
    <n v="13.8"/>
    <n v="369"/>
    <n v="0.76875000000000004"/>
    <n v="0.89319783197831981"/>
    <n v="0.94277739009071881"/>
    <n v="0.64735416666666679"/>
  </r>
  <r>
    <n v="829"/>
    <x v="69"/>
    <x v="0"/>
    <x v="0"/>
    <n v="480"/>
    <n v="70"/>
    <n v="1878"/>
    <n v="1847"/>
    <n v="31"/>
    <n v="12"/>
    <n v="410"/>
    <n v="0.85416666666666663"/>
    <n v="0.91609756097560979"/>
    <n v="0.98349307774227901"/>
    <n v="0.76958333333333329"/>
  </r>
  <r>
    <n v="830"/>
    <x v="69"/>
    <x v="0"/>
    <x v="1"/>
    <n v="480"/>
    <n v="12"/>
    <n v="1862"/>
    <n v="1820"/>
    <n v="42"/>
    <n v="12.6"/>
    <n v="468"/>
    <n v="0.97499999999999998"/>
    <n v="0.8355128205128205"/>
    <n v="0.97744360902255634"/>
    <n v="0.7962499999999999"/>
  </r>
  <r>
    <n v="831"/>
    <x v="69"/>
    <x v="0"/>
    <x v="2"/>
    <n v="480"/>
    <n v="5"/>
    <n v="1689"/>
    <n v="1668"/>
    <n v="21"/>
    <n v="13.2"/>
    <n v="475"/>
    <n v="0.98958333333333337"/>
    <n v="0.78227368421052634"/>
    <n v="0.98756660746003555"/>
    <n v="0.76450000000000007"/>
  </r>
  <r>
    <n v="832"/>
    <x v="69"/>
    <x v="0"/>
    <x v="3"/>
    <n v="480"/>
    <n v="10"/>
    <n v="1780"/>
    <n v="1713"/>
    <n v="67"/>
    <n v="13.8"/>
    <n v="470"/>
    <n v="0.97916666666666663"/>
    <n v="0.87106382978723407"/>
    <n v="0.96235955056179778"/>
    <n v="0.82081250000000006"/>
  </r>
  <r>
    <n v="833"/>
    <x v="69"/>
    <x v="1"/>
    <x v="0"/>
    <n v="480"/>
    <n v="0"/>
    <n v="1909"/>
    <n v="1860"/>
    <n v="49"/>
    <n v="12"/>
    <n v="480"/>
    <n v="1"/>
    <n v="0.79541666666666666"/>
    <n v="0.97433211105290729"/>
    <n v="0.77500000000000002"/>
  </r>
  <r>
    <n v="834"/>
    <x v="69"/>
    <x v="1"/>
    <x v="1"/>
    <n v="480"/>
    <n v="157"/>
    <n v="1161"/>
    <n v="1103"/>
    <n v="58"/>
    <n v="12.6"/>
    <n v="323"/>
    <n v="0.67291666666666672"/>
    <n v="0.75482972136222914"/>
    <n v="0.95004306632213609"/>
    <n v="0.48256250000000006"/>
  </r>
  <r>
    <n v="835"/>
    <x v="69"/>
    <x v="1"/>
    <x v="2"/>
    <n v="480"/>
    <n v="98"/>
    <n v="1676"/>
    <n v="1602"/>
    <n v="74"/>
    <n v="13.2"/>
    <n v="382"/>
    <n v="0.79583333333333328"/>
    <n v="0.96523560209424075"/>
    <n v="0.95584725536992843"/>
    <n v="0.73424999999999996"/>
  </r>
  <r>
    <n v="836"/>
    <x v="69"/>
    <x v="1"/>
    <x v="3"/>
    <n v="480"/>
    <n v="0"/>
    <n v="1682"/>
    <n v="1595"/>
    <n v="87"/>
    <n v="13.8"/>
    <n v="480"/>
    <n v="1"/>
    <n v="0.80595833333333344"/>
    <n v="0.94827586206896552"/>
    <n v="0.76427083333333345"/>
  </r>
  <r>
    <n v="837"/>
    <x v="69"/>
    <x v="2"/>
    <x v="0"/>
    <n v="480"/>
    <n v="0"/>
    <n v="1840"/>
    <n v="1757"/>
    <n v="83"/>
    <n v="12"/>
    <n v="480"/>
    <n v="1"/>
    <n v="0.76666666666666672"/>
    <n v="0.9548913043478261"/>
    <n v="0.73208333333333342"/>
  </r>
  <r>
    <n v="838"/>
    <x v="69"/>
    <x v="2"/>
    <x v="1"/>
    <n v="480"/>
    <n v="70"/>
    <n v="1519"/>
    <n v="1474"/>
    <n v="45"/>
    <n v="12.6"/>
    <n v="410"/>
    <n v="0.85416666666666663"/>
    <n v="0.77802439024390235"/>
    <n v="0.97037524687294274"/>
    <n v="0.64487499999999998"/>
  </r>
  <r>
    <n v="839"/>
    <x v="69"/>
    <x v="2"/>
    <x v="2"/>
    <n v="480"/>
    <n v="25"/>
    <n v="1930"/>
    <n v="1843"/>
    <n v="87"/>
    <n v="13.2"/>
    <n v="455"/>
    <n v="0.94791666666666663"/>
    <n v="0.93318681318681318"/>
    <n v="0.95492227979274613"/>
    <n v="0.84470833333333328"/>
  </r>
  <r>
    <n v="840"/>
    <x v="69"/>
    <x v="2"/>
    <x v="3"/>
    <n v="480"/>
    <n v="0"/>
    <n v="1741"/>
    <n v="1715"/>
    <n v="26"/>
    <n v="13.8"/>
    <n v="480"/>
    <n v="1"/>
    <n v="0.8342291666666668"/>
    <n v="0.98506605399195868"/>
    <n v="0.82177083333333345"/>
  </r>
  <r>
    <n v="841"/>
    <x v="70"/>
    <x v="0"/>
    <x v="0"/>
    <n v="480"/>
    <n v="91"/>
    <n v="1633"/>
    <n v="1570"/>
    <n v="63"/>
    <n v="12"/>
    <n v="389"/>
    <n v="0.81041666666666667"/>
    <n v="0.83958868894601546"/>
    <n v="0.96142069810165343"/>
    <n v="0.65416666666666667"/>
  </r>
  <r>
    <n v="842"/>
    <x v="70"/>
    <x v="0"/>
    <x v="1"/>
    <n v="480"/>
    <n v="68"/>
    <n v="1862"/>
    <n v="1761"/>
    <n v="101"/>
    <n v="12.6"/>
    <n v="412"/>
    <n v="0.85833333333333328"/>
    <n v="0.94907766990291265"/>
    <n v="0.94575725026852842"/>
    <n v="0.77043749999999989"/>
  </r>
  <r>
    <n v="843"/>
    <x v="70"/>
    <x v="0"/>
    <x v="2"/>
    <n v="480"/>
    <n v="26"/>
    <n v="1906"/>
    <n v="1830"/>
    <n v="76"/>
    <n v="13.2"/>
    <n v="454"/>
    <n v="0.9458333333333333"/>
    <n v="0.92361233480176197"/>
    <n v="0.96012591815320047"/>
    <n v="0.83874999999999988"/>
  </r>
  <r>
    <n v="844"/>
    <x v="70"/>
    <x v="0"/>
    <x v="3"/>
    <n v="480"/>
    <n v="0"/>
    <n v="1947"/>
    <n v="1858"/>
    <n v="89"/>
    <n v="13.8"/>
    <n v="480"/>
    <n v="1"/>
    <n v="0.93293750000000009"/>
    <n v="0.95428864920390344"/>
    <n v="0.8902916666666667"/>
  </r>
  <r>
    <n v="845"/>
    <x v="70"/>
    <x v="1"/>
    <x v="0"/>
    <n v="480"/>
    <n v="0"/>
    <n v="2056"/>
    <n v="2018"/>
    <n v="38"/>
    <n v="12"/>
    <n v="480"/>
    <n v="1"/>
    <n v="0.85666666666666669"/>
    <n v="0.98151750972762641"/>
    <n v="0.84083333333333332"/>
  </r>
  <r>
    <n v="846"/>
    <x v="70"/>
    <x v="1"/>
    <x v="1"/>
    <n v="480"/>
    <n v="15"/>
    <n v="1976"/>
    <n v="1891"/>
    <n v="85"/>
    <n v="12.6"/>
    <n v="465"/>
    <n v="0.96875"/>
    <n v="0.89238709677419348"/>
    <n v="0.95698380566801622"/>
    <n v="0.82731250000000001"/>
  </r>
  <r>
    <n v="847"/>
    <x v="70"/>
    <x v="1"/>
    <x v="2"/>
    <n v="480"/>
    <n v="85"/>
    <n v="1411"/>
    <n v="1329"/>
    <n v="82"/>
    <n v="13.2"/>
    <n v="395"/>
    <n v="0.82291666666666663"/>
    <n v="0.78587341772151897"/>
    <n v="0.94188518781006381"/>
    <n v="0.60912500000000003"/>
  </r>
  <r>
    <n v="848"/>
    <x v="70"/>
    <x v="1"/>
    <x v="3"/>
    <n v="480"/>
    <n v="132"/>
    <n v="1340"/>
    <n v="1283"/>
    <n v="57"/>
    <n v="13.8"/>
    <n v="348"/>
    <n v="0.72499999999999998"/>
    <n v="0.88563218390804599"/>
    <n v="0.95746268656716416"/>
    <n v="0.61477083333333338"/>
  </r>
  <r>
    <n v="849"/>
    <x v="70"/>
    <x v="2"/>
    <x v="0"/>
    <n v="480"/>
    <n v="5"/>
    <n v="2232"/>
    <n v="2147"/>
    <n v="85"/>
    <n v="12"/>
    <n v="475"/>
    <n v="0.98958333333333337"/>
    <n v="0.93978947368421051"/>
    <n v="0.9619175627240143"/>
    <n v="0.8945833333333334"/>
  </r>
  <r>
    <n v="850"/>
    <x v="70"/>
    <x v="2"/>
    <x v="1"/>
    <n v="480"/>
    <n v="107"/>
    <n v="1516"/>
    <n v="1491"/>
    <n v="25"/>
    <n v="12.6"/>
    <n v="373"/>
    <n v="0.77708333333333335"/>
    <n v="0.85351206434316351"/>
    <n v="0.98350923482849606"/>
    <n v="0.65231250000000007"/>
  </r>
  <r>
    <n v="851"/>
    <x v="70"/>
    <x v="2"/>
    <x v="2"/>
    <n v="480"/>
    <n v="58"/>
    <n v="1758"/>
    <n v="1714"/>
    <n v="44"/>
    <n v="13.2"/>
    <n v="422"/>
    <n v="0.87916666666666665"/>
    <n v="0.91649289099526066"/>
    <n v="0.97497155858930606"/>
    <n v="0.7855833333333333"/>
  </r>
  <r>
    <n v="852"/>
    <x v="70"/>
    <x v="2"/>
    <x v="3"/>
    <n v="480"/>
    <n v="16"/>
    <n v="1683"/>
    <n v="1622"/>
    <n v="61"/>
    <n v="13.8"/>
    <n v="464"/>
    <n v="0.96666666666666667"/>
    <n v="0.83424568965517243"/>
    <n v="0.96375519904931672"/>
    <n v="0.77720833333333339"/>
  </r>
  <r>
    <n v="853"/>
    <x v="71"/>
    <x v="0"/>
    <x v="0"/>
    <n v="480"/>
    <n v="130"/>
    <n v="1603"/>
    <n v="1541"/>
    <n v="62"/>
    <n v="12"/>
    <n v="350"/>
    <n v="0.72916666666666663"/>
    <n v="0.91600000000000004"/>
    <n v="0.96132252027448539"/>
    <n v="0.64208333333333345"/>
  </r>
  <r>
    <n v="854"/>
    <x v="71"/>
    <x v="0"/>
    <x v="1"/>
    <n v="480"/>
    <n v="21"/>
    <n v="1913"/>
    <n v="1860"/>
    <n v="53"/>
    <n v="12.6"/>
    <n v="459"/>
    <n v="0.95625000000000004"/>
    <n v="0.87522875816993462"/>
    <n v="0.97229482488238372"/>
    <n v="0.81374999999999997"/>
  </r>
  <r>
    <n v="855"/>
    <x v="71"/>
    <x v="0"/>
    <x v="2"/>
    <n v="480"/>
    <n v="0"/>
    <n v="1733"/>
    <n v="1634"/>
    <n v="99"/>
    <n v="13.2"/>
    <n v="480"/>
    <n v="1"/>
    <n v="0.79429166666666662"/>
    <n v="0.94287362954414311"/>
    <n v="0.74891666666666667"/>
  </r>
  <r>
    <n v="856"/>
    <x v="71"/>
    <x v="0"/>
    <x v="3"/>
    <n v="480"/>
    <n v="5"/>
    <n v="1889"/>
    <n v="1820"/>
    <n v="69"/>
    <n v="13.8"/>
    <n v="475"/>
    <n v="0.98958333333333337"/>
    <n v="0.91467368421052631"/>
    <n v="0.96347273689782953"/>
    <n v="0.87208333333333332"/>
  </r>
  <r>
    <n v="857"/>
    <x v="71"/>
    <x v="1"/>
    <x v="0"/>
    <n v="480"/>
    <n v="5"/>
    <n v="1885"/>
    <n v="1823"/>
    <n v="62"/>
    <n v="12"/>
    <n v="475"/>
    <n v="0.98958333333333337"/>
    <n v="0.79368421052631577"/>
    <n v="0.96710875331564983"/>
    <n v="0.75958333333333328"/>
  </r>
  <r>
    <n v="858"/>
    <x v="71"/>
    <x v="1"/>
    <x v="1"/>
    <n v="480"/>
    <n v="31"/>
    <n v="2009"/>
    <n v="1947"/>
    <n v="62"/>
    <n v="12.6"/>
    <n v="449"/>
    <n v="0.93541666666666667"/>
    <n v="0.93962138084632507"/>
    <n v="0.96913887506221996"/>
    <n v="0.85181249999999986"/>
  </r>
  <r>
    <n v="859"/>
    <x v="71"/>
    <x v="1"/>
    <x v="2"/>
    <n v="480"/>
    <n v="0"/>
    <n v="1773"/>
    <n v="1669"/>
    <n v="104"/>
    <n v="13.2"/>
    <n v="480"/>
    <n v="1"/>
    <n v="0.81262499999999993"/>
    <n v="0.94134235758601237"/>
    <n v="0.76495833333333318"/>
  </r>
  <r>
    <n v="860"/>
    <x v="71"/>
    <x v="1"/>
    <x v="3"/>
    <n v="480"/>
    <n v="55"/>
    <n v="1797"/>
    <n v="1731"/>
    <n v="66"/>
    <n v="13.8"/>
    <n v="425"/>
    <n v="0.88541666666666663"/>
    <n v="0.97249411764705895"/>
    <n v="0.96327212020033393"/>
    <n v="0.82943750000000005"/>
  </r>
  <r>
    <n v="861"/>
    <x v="71"/>
    <x v="2"/>
    <x v="0"/>
    <n v="480"/>
    <n v="25"/>
    <n v="1792"/>
    <n v="1729"/>
    <n v="63"/>
    <n v="12"/>
    <n v="455"/>
    <n v="0.94791666666666663"/>
    <n v="0.78769230769230769"/>
    <n v="0.96484375"/>
    <n v="0.72041666666666659"/>
  </r>
  <r>
    <n v="862"/>
    <x v="71"/>
    <x v="2"/>
    <x v="1"/>
    <n v="480"/>
    <n v="150"/>
    <n v="1446"/>
    <n v="1372"/>
    <n v="74"/>
    <n v="12.6"/>
    <n v="330"/>
    <n v="0.6875"/>
    <n v="0.9201818181818181"/>
    <n v="0.94882434301521434"/>
    <n v="0.60024999999999995"/>
  </r>
  <r>
    <n v="863"/>
    <x v="71"/>
    <x v="2"/>
    <x v="2"/>
    <n v="480"/>
    <n v="65"/>
    <n v="1594"/>
    <n v="1519"/>
    <n v="75"/>
    <n v="13.2"/>
    <n v="415"/>
    <n v="0.86458333333333337"/>
    <n v="0.84501204819277109"/>
    <n v="0.9529485570890841"/>
    <n v="0.69620833333333343"/>
  </r>
  <r>
    <n v="864"/>
    <x v="71"/>
    <x v="2"/>
    <x v="3"/>
    <n v="480"/>
    <n v="45"/>
    <n v="1716"/>
    <n v="1624"/>
    <n v="92"/>
    <n v="13.8"/>
    <n v="435"/>
    <n v="0.90625"/>
    <n v="0.90731034482758632"/>
    <n v="0.94638694638694643"/>
    <n v="0.77816666666666678"/>
  </r>
  <r>
    <n v="865"/>
    <x v="72"/>
    <x v="0"/>
    <x v="0"/>
    <n v="480"/>
    <n v="0"/>
    <n v="2282"/>
    <n v="2253"/>
    <n v="29"/>
    <n v="12"/>
    <n v="480"/>
    <n v="1"/>
    <n v="0.95083333333333331"/>
    <n v="0.98729184925503943"/>
    <n v="0.93874999999999997"/>
  </r>
  <r>
    <n v="866"/>
    <x v="72"/>
    <x v="0"/>
    <x v="1"/>
    <n v="480"/>
    <n v="75"/>
    <n v="1826"/>
    <n v="1772"/>
    <n v="54"/>
    <n v="12.6"/>
    <n v="405"/>
    <n v="0.84375"/>
    <n v="0.94681481481481478"/>
    <n v="0.97042716319824751"/>
    <n v="0.77524999999999999"/>
  </r>
  <r>
    <n v="867"/>
    <x v="72"/>
    <x v="0"/>
    <x v="2"/>
    <n v="480"/>
    <n v="0"/>
    <n v="1849"/>
    <n v="1795"/>
    <n v="54"/>
    <n v="13.2"/>
    <n v="480"/>
    <n v="1"/>
    <n v="0.84745833333333331"/>
    <n v="0.97079502433747977"/>
    <n v="0.82270833333333337"/>
  </r>
  <r>
    <n v="868"/>
    <x v="72"/>
    <x v="0"/>
    <x v="3"/>
    <n v="480"/>
    <n v="145"/>
    <n v="1334"/>
    <n v="1258"/>
    <n v="76"/>
    <n v="13.8"/>
    <n v="335"/>
    <n v="0.69791666666666663"/>
    <n v="0.91588059701492541"/>
    <n v="0.94302848575712139"/>
    <n v="0.60279166666666673"/>
  </r>
  <r>
    <n v="869"/>
    <x v="72"/>
    <x v="1"/>
    <x v="0"/>
    <n v="480"/>
    <n v="43"/>
    <n v="2002"/>
    <n v="1979"/>
    <n v="23"/>
    <n v="12"/>
    <n v="437"/>
    <n v="0.91041666666666665"/>
    <n v="0.91624713958810067"/>
    <n v="0.98851148851148851"/>
    <n v="0.82458333333333333"/>
  </r>
  <r>
    <n v="870"/>
    <x v="72"/>
    <x v="1"/>
    <x v="1"/>
    <n v="480"/>
    <n v="129"/>
    <n v="1602"/>
    <n v="1571"/>
    <n v="31"/>
    <n v="12.6"/>
    <n v="351"/>
    <n v="0.73124999999999996"/>
    <n v="0.95846153846153848"/>
    <n v="0.98064918851435701"/>
    <n v="0.68731249999999988"/>
  </r>
  <r>
    <n v="871"/>
    <x v="72"/>
    <x v="1"/>
    <x v="2"/>
    <n v="480"/>
    <n v="102"/>
    <n v="1394"/>
    <n v="1324"/>
    <n v="70"/>
    <n v="13.2"/>
    <n v="378"/>
    <n v="0.78749999999999998"/>
    <n v="0.81132275132275133"/>
    <n v="0.94978479196556675"/>
    <n v="0.60683333333333334"/>
  </r>
  <r>
    <n v="872"/>
    <x v="72"/>
    <x v="1"/>
    <x v="3"/>
    <n v="480"/>
    <n v="0"/>
    <n v="1823"/>
    <n v="1799"/>
    <n v="24"/>
    <n v="13.8"/>
    <n v="480"/>
    <n v="1"/>
    <n v="0.87352083333333341"/>
    <n v="0.98683488754799775"/>
    <n v="0.86202083333333335"/>
  </r>
  <r>
    <n v="873"/>
    <x v="72"/>
    <x v="2"/>
    <x v="0"/>
    <n v="480"/>
    <n v="179"/>
    <n v="1261"/>
    <n v="1222"/>
    <n v="39"/>
    <n v="12"/>
    <n v="301"/>
    <n v="0.62708333333333333"/>
    <n v="0.83787375415282395"/>
    <n v="0.96907216494845361"/>
    <n v="0.50916666666666666"/>
  </r>
  <r>
    <n v="874"/>
    <x v="72"/>
    <x v="2"/>
    <x v="1"/>
    <n v="480"/>
    <n v="13"/>
    <n v="1858"/>
    <n v="1838"/>
    <n v="20"/>
    <n v="12.6"/>
    <n v="467"/>
    <n v="0.97291666666666665"/>
    <n v="0.83550321199143462"/>
    <n v="0.98923573735199144"/>
    <n v="0.80412499999999998"/>
  </r>
  <r>
    <n v="875"/>
    <x v="72"/>
    <x v="2"/>
    <x v="2"/>
    <n v="480"/>
    <n v="0"/>
    <n v="2028"/>
    <n v="1988"/>
    <n v="40"/>
    <n v="13.2"/>
    <n v="480"/>
    <n v="1"/>
    <n v="0.92949999999999999"/>
    <n v="0.98027613412228798"/>
    <n v="0.91116666666666668"/>
  </r>
  <r>
    <n v="876"/>
    <x v="72"/>
    <x v="2"/>
    <x v="3"/>
    <n v="480"/>
    <n v="0"/>
    <n v="1792"/>
    <n v="1774"/>
    <n v="18"/>
    <n v="13.8"/>
    <n v="480"/>
    <n v="1"/>
    <n v="0.85866666666666669"/>
    <n v="0.9899553571428571"/>
    <n v="0.8500416666666667"/>
  </r>
  <r>
    <n v="877"/>
    <x v="73"/>
    <x v="0"/>
    <x v="0"/>
    <n v="480"/>
    <n v="0"/>
    <n v="2245"/>
    <n v="2136"/>
    <n v="109"/>
    <n v="12"/>
    <n v="480"/>
    <n v="1"/>
    <n v="0.93541666666666667"/>
    <n v="0.9514476614699332"/>
    <n v="0.89"/>
  </r>
  <r>
    <n v="878"/>
    <x v="73"/>
    <x v="0"/>
    <x v="1"/>
    <n v="480"/>
    <n v="121"/>
    <n v="1568"/>
    <n v="1476"/>
    <n v="92"/>
    <n v="12.6"/>
    <n v="359"/>
    <n v="0.74791666666666667"/>
    <n v="0.91721448467966571"/>
    <n v="0.94132653061224492"/>
    <n v="0.64574999999999994"/>
  </r>
  <r>
    <n v="879"/>
    <x v="73"/>
    <x v="0"/>
    <x v="2"/>
    <n v="480"/>
    <n v="0"/>
    <n v="1749"/>
    <n v="1713"/>
    <n v="36"/>
    <n v="13.2"/>
    <n v="480"/>
    <n v="1"/>
    <n v="0.80162499999999992"/>
    <n v="0.97941680960548883"/>
    <n v="0.78512499999999985"/>
  </r>
  <r>
    <n v="880"/>
    <x v="73"/>
    <x v="0"/>
    <x v="3"/>
    <n v="480"/>
    <n v="294"/>
    <n v="611"/>
    <n v="580"/>
    <n v="31"/>
    <n v="13.8"/>
    <n v="186"/>
    <n v="0.38750000000000001"/>
    <n v="0.75553763440860222"/>
    <n v="0.9492635024549918"/>
    <n v="0.2779166666666667"/>
  </r>
  <r>
    <n v="881"/>
    <x v="73"/>
    <x v="1"/>
    <x v="0"/>
    <n v="480"/>
    <n v="70"/>
    <n v="1655"/>
    <n v="1584"/>
    <n v="71"/>
    <n v="12"/>
    <n v="410"/>
    <n v="0.85416666666666663"/>
    <n v="0.80731707317073176"/>
    <n v="0.95709969788519633"/>
    <n v="0.65999999999999992"/>
  </r>
  <r>
    <n v="882"/>
    <x v="73"/>
    <x v="1"/>
    <x v="1"/>
    <n v="480"/>
    <n v="117"/>
    <n v="1496"/>
    <n v="1471"/>
    <n v="25"/>
    <n v="12.6"/>
    <n v="363"/>
    <n v="0.75624999999999998"/>
    <n v="0.86545454545454537"/>
    <n v="0.98328877005347592"/>
    <n v="0.64356249999999982"/>
  </r>
  <r>
    <n v="883"/>
    <x v="73"/>
    <x v="1"/>
    <x v="2"/>
    <n v="480"/>
    <n v="17"/>
    <n v="1582"/>
    <n v="1506"/>
    <n v="76"/>
    <n v="13.2"/>
    <n v="463"/>
    <n v="0.96458333333333335"/>
    <n v="0.75170626349892"/>
    <n v="0.95195954487989887"/>
    <n v="0.69024999999999992"/>
  </r>
  <r>
    <n v="884"/>
    <x v="73"/>
    <x v="1"/>
    <x v="3"/>
    <n v="480"/>
    <n v="63"/>
    <n v="1436"/>
    <n v="1381"/>
    <n v="55"/>
    <n v="13.8"/>
    <n v="417"/>
    <n v="0.86875000000000002"/>
    <n v="0.79203836930455629"/>
    <n v="0.96169916434540392"/>
    <n v="0.66172916666666659"/>
  </r>
  <r>
    <n v="885"/>
    <x v="73"/>
    <x v="2"/>
    <x v="0"/>
    <n v="480"/>
    <n v="0"/>
    <n v="1996"/>
    <n v="1907"/>
    <n v="89"/>
    <n v="12"/>
    <n v="480"/>
    <n v="1"/>
    <n v="0.83166666666666667"/>
    <n v="0.95541082164328661"/>
    <n v="0.79458333333333342"/>
  </r>
  <r>
    <n v="886"/>
    <x v="73"/>
    <x v="2"/>
    <x v="1"/>
    <n v="480"/>
    <n v="16"/>
    <n v="1660"/>
    <n v="1637"/>
    <n v="23"/>
    <n v="12.6"/>
    <n v="464"/>
    <n v="0.96666666666666667"/>
    <n v="0.75129310344827582"/>
    <n v="0.98614457831325297"/>
    <n v="0.71618749999999998"/>
  </r>
  <r>
    <n v="887"/>
    <x v="73"/>
    <x v="2"/>
    <x v="2"/>
    <n v="480"/>
    <n v="75"/>
    <n v="1495"/>
    <n v="1453"/>
    <n v="42"/>
    <n v="13.2"/>
    <n v="405"/>
    <n v="0.84375"/>
    <n v="0.8120987654320988"/>
    <n v="0.97190635451505014"/>
    <n v="0.66595833333333343"/>
  </r>
  <r>
    <n v="888"/>
    <x v="73"/>
    <x v="2"/>
    <x v="3"/>
    <n v="480"/>
    <n v="97"/>
    <n v="1395"/>
    <n v="1322"/>
    <n v="73"/>
    <n v="13.8"/>
    <n v="383"/>
    <n v="0.79791666666666672"/>
    <n v="0.83772845953002606"/>
    <n v="0.94767025089605739"/>
    <n v="0.63345833333333335"/>
  </r>
  <r>
    <n v="889"/>
    <x v="74"/>
    <x v="0"/>
    <x v="0"/>
    <n v="480"/>
    <n v="13"/>
    <n v="2245"/>
    <n v="2158"/>
    <n v="87"/>
    <n v="12"/>
    <n v="467"/>
    <n v="0.97291666666666665"/>
    <n v="0.96145610278372595"/>
    <n v="0.96124721603563479"/>
    <n v="0.89916666666666667"/>
  </r>
  <r>
    <n v="890"/>
    <x v="74"/>
    <x v="0"/>
    <x v="1"/>
    <n v="480"/>
    <n v="17"/>
    <n v="1925"/>
    <n v="1816"/>
    <n v="109"/>
    <n v="12.6"/>
    <n v="463"/>
    <n v="0.96458333333333335"/>
    <n v="0.87311015118790491"/>
    <n v="0.94337662337662342"/>
    <n v="0.79449999999999998"/>
  </r>
  <r>
    <n v="891"/>
    <x v="74"/>
    <x v="0"/>
    <x v="2"/>
    <n v="480"/>
    <n v="63"/>
    <n v="1508"/>
    <n v="1465"/>
    <n v="43"/>
    <n v="13.2"/>
    <n v="417"/>
    <n v="0.86875000000000002"/>
    <n v="0.79558752997601911"/>
    <n v="0.97148541114058351"/>
    <n v="0.67145833333333327"/>
  </r>
  <r>
    <n v="892"/>
    <x v="74"/>
    <x v="0"/>
    <x v="3"/>
    <n v="480"/>
    <n v="47"/>
    <n v="1486"/>
    <n v="1412"/>
    <n v="74"/>
    <n v="13.8"/>
    <n v="433"/>
    <n v="0.90208333333333335"/>
    <n v="0.78933025404157042"/>
    <n v="0.95020188425302832"/>
    <n v="0.67658333333333343"/>
  </r>
  <r>
    <n v="893"/>
    <x v="74"/>
    <x v="1"/>
    <x v="0"/>
    <n v="480"/>
    <n v="175"/>
    <n v="1349"/>
    <n v="1330"/>
    <n v="19"/>
    <n v="12"/>
    <n v="305"/>
    <n v="0.63541666666666663"/>
    <n v="0.88459016393442624"/>
    <n v="0.9859154929577465"/>
    <n v="0.55416666666666659"/>
  </r>
  <r>
    <n v="894"/>
    <x v="74"/>
    <x v="1"/>
    <x v="1"/>
    <n v="480"/>
    <n v="80"/>
    <n v="1804"/>
    <n v="1778"/>
    <n v="26"/>
    <n v="12.6"/>
    <n v="400"/>
    <n v="0.83333333333333337"/>
    <n v="0.94709999999999994"/>
    <n v="0.98558758314855877"/>
    <n v="0.77787499999999998"/>
  </r>
  <r>
    <n v="895"/>
    <x v="74"/>
    <x v="1"/>
    <x v="2"/>
    <n v="480"/>
    <n v="41"/>
    <n v="1558"/>
    <n v="1520"/>
    <n v="38"/>
    <n v="13.2"/>
    <n v="439"/>
    <n v="0.9145833333333333"/>
    <n v="0.78077448747152611"/>
    <n v="0.97560975609756095"/>
    <n v="0.69666666666666655"/>
  </r>
  <r>
    <n v="896"/>
    <x v="74"/>
    <x v="1"/>
    <x v="3"/>
    <n v="480"/>
    <n v="73"/>
    <n v="1630"/>
    <n v="1602"/>
    <n v="28"/>
    <n v="13.8"/>
    <n v="407"/>
    <n v="0.84791666666666665"/>
    <n v="0.92113022113022114"/>
    <n v="0.98282208588957054"/>
    <n v="0.767625"/>
  </r>
  <r>
    <n v="897"/>
    <x v="74"/>
    <x v="2"/>
    <x v="0"/>
    <n v="480"/>
    <n v="0"/>
    <n v="1990"/>
    <n v="1890"/>
    <n v="100"/>
    <n v="12"/>
    <n v="480"/>
    <n v="1"/>
    <n v="0.82916666666666672"/>
    <n v="0.94974874371859297"/>
    <n v="0.78750000000000009"/>
  </r>
  <r>
    <n v="898"/>
    <x v="74"/>
    <x v="2"/>
    <x v="1"/>
    <n v="480"/>
    <n v="88"/>
    <n v="1672"/>
    <n v="1635"/>
    <n v="37"/>
    <n v="12.6"/>
    <n v="392"/>
    <n v="0.81666666666666665"/>
    <n v="0.8957142857142858"/>
    <n v="0.97787081339712922"/>
    <n v="0.71531250000000002"/>
  </r>
  <r>
    <n v="899"/>
    <x v="74"/>
    <x v="2"/>
    <x v="2"/>
    <n v="480"/>
    <n v="142"/>
    <n v="1157"/>
    <n v="1124"/>
    <n v="33"/>
    <n v="13.2"/>
    <n v="338"/>
    <n v="0.70416666666666672"/>
    <n v="0.75307692307692309"/>
    <n v="0.97147796024200517"/>
    <n v="0.51516666666666666"/>
  </r>
  <r>
    <n v="900"/>
    <x v="74"/>
    <x v="2"/>
    <x v="3"/>
    <n v="480"/>
    <n v="70"/>
    <n v="1426"/>
    <n v="1364"/>
    <n v="62"/>
    <n v="13.8"/>
    <n v="410"/>
    <n v="0.85416666666666663"/>
    <n v="0.79995121951219506"/>
    <n v="0.95652173913043481"/>
    <n v="0.65358333333333329"/>
  </r>
  <r>
    <n v="901"/>
    <x v="75"/>
    <x v="0"/>
    <x v="0"/>
    <n v="480"/>
    <n v="85"/>
    <n v="1618"/>
    <n v="1565"/>
    <n v="53"/>
    <n v="12"/>
    <n v="395"/>
    <n v="0.82291666666666663"/>
    <n v="0.81924050632911394"/>
    <n v="0.96724351050679847"/>
    <n v="0.65208333333333335"/>
  </r>
  <r>
    <n v="902"/>
    <x v="75"/>
    <x v="0"/>
    <x v="1"/>
    <n v="480"/>
    <n v="160"/>
    <n v="1169"/>
    <n v="1109"/>
    <n v="60"/>
    <n v="12.6"/>
    <n v="320"/>
    <n v="0.66666666666666663"/>
    <n v="0.76715624999999998"/>
    <n v="0.94867408041060741"/>
    <n v="0.48518749999999999"/>
  </r>
  <r>
    <n v="903"/>
    <x v="75"/>
    <x v="0"/>
    <x v="2"/>
    <n v="480"/>
    <n v="103"/>
    <n v="1466"/>
    <n v="1435"/>
    <n v="31"/>
    <n v="13.2"/>
    <n v="377"/>
    <n v="0.78541666666666665"/>
    <n v="0.85549071618037142"/>
    <n v="0.97885402455661663"/>
    <n v="0.65770833333333334"/>
  </r>
  <r>
    <n v="904"/>
    <x v="75"/>
    <x v="0"/>
    <x v="3"/>
    <n v="480"/>
    <n v="69"/>
    <n v="1725"/>
    <n v="1693"/>
    <n v="32"/>
    <n v="13.8"/>
    <n v="411"/>
    <n v="0.85624999999999996"/>
    <n v="0.96532846715328469"/>
    <n v="0.98144927536231885"/>
    <n v="0.81122916666666667"/>
  </r>
  <r>
    <n v="905"/>
    <x v="75"/>
    <x v="1"/>
    <x v="0"/>
    <n v="480"/>
    <n v="0"/>
    <n v="2114"/>
    <n v="2002"/>
    <n v="112"/>
    <n v="12"/>
    <n v="480"/>
    <n v="1"/>
    <n v="0.88083333333333336"/>
    <n v="0.94701986754966883"/>
    <n v="0.83416666666666661"/>
  </r>
  <r>
    <n v="906"/>
    <x v="75"/>
    <x v="1"/>
    <x v="1"/>
    <n v="480"/>
    <n v="72"/>
    <n v="1457"/>
    <n v="1410"/>
    <n v="47"/>
    <n v="12.6"/>
    <n v="408"/>
    <n v="0.85"/>
    <n v="0.74992647058823536"/>
    <n v="0.967741935483871"/>
    <n v="0.61687500000000006"/>
  </r>
  <r>
    <n v="907"/>
    <x v="75"/>
    <x v="1"/>
    <x v="2"/>
    <n v="480"/>
    <n v="57"/>
    <n v="1873"/>
    <n v="1833"/>
    <n v="40"/>
    <n v="13.2"/>
    <n v="423"/>
    <n v="0.88124999999999998"/>
    <n v="0.97413711583924345"/>
    <n v="0.97864388681260006"/>
    <n v="0.8401249999999999"/>
  </r>
  <r>
    <n v="908"/>
    <x v="75"/>
    <x v="1"/>
    <x v="3"/>
    <n v="480"/>
    <n v="50"/>
    <n v="1525"/>
    <n v="1454"/>
    <n v="71"/>
    <n v="13.8"/>
    <n v="430"/>
    <n v="0.89583333333333337"/>
    <n v="0.81569767441860463"/>
    <n v="0.95344262295081972"/>
    <n v="0.69670833333333337"/>
  </r>
  <r>
    <n v="909"/>
    <x v="75"/>
    <x v="2"/>
    <x v="0"/>
    <n v="480"/>
    <n v="20"/>
    <n v="2110"/>
    <n v="1997"/>
    <n v="113"/>
    <n v="12"/>
    <n v="460"/>
    <n v="0.95833333333333337"/>
    <n v="0.91739130434782612"/>
    <n v="0.9464454976303317"/>
    <n v="0.8320833333333334"/>
  </r>
  <r>
    <n v="910"/>
    <x v="75"/>
    <x v="2"/>
    <x v="1"/>
    <n v="480"/>
    <n v="73"/>
    <n v="1551"/>
    <n v="1500"/>
    <n v="51"/>
    <n v="12.6"/>
    <n v="407"/>
    <n v="0.84791666666666665"/>
    <n v="0.8002702702702702"/>
    <n v="0.96711798839458418"/>
    <n v="0.65625"/>
  </r>
  <r>
    <n v="911"/>
    <x v="75"/>
    <x v="2"/>
    <x v="2"/>
    <n v="480"/>
    <n v="93"/>
    <n v="1512"/>
    <n v="1487"/>
    <n v="25"/>
    <n v="13.2"/>
    <n v="387"/>
    <n v="0.80625000000000002"/>
    <n v="0.85953488372093012"/>
    <n v="0.98346560846560849"/>
    <n v="0.6815416666666666"/>
  </r>
  <r>
    <n v="912"/>
    <x v="75"/>
    <x v="2"/>
    <x v="3"/>
    <n v="480"/>
    <n v="30"/>
    <n v="1684"/>
    <n v="1624"/>
    <n v="60"/>
    <n v="13.8"/>
    <n v="450"/>
    <n v="0.9375"/>
    <n v="0.86071111111111109"/>
    <n v="0.96437054631828978"/>
    <n v="0.77816666666666656"/>
  </r>
  <r>
    <n v="913"/>
    <x v="76"/>
    <x v="0"/>
    <x v="0"/>
    <n v="480"/>
    <n v="55"/>
    <n v="1791"/>
    <n v="1690"/>
    <n v="101"/>
    <n v="12"/>
    <n v="425"/>
    <n v="0.88541666666666663"/>
    <n v="0.84282352941176475"/>
    <n v="0.94360692350642095"/>
    <n v="0.70416666666666661"/>
  </r>
  <r>
    <n v="914"/>
    <x v="76"/>
    <x v="0"/>
    <x v="1"/>
    <n v="480"/>
    <n v="0"/>
    <n v="1983"/>
    <n v="1873"/>
    <n v="110"/>
    <n v="12.6"/>
    <n v="480"/>
    <n v="1"/>
    <n v="0.86756250000000001"/>
    <n v="0.94452849218356028"/>
    <n v="0.81943750000000004"/>
  </r>
  <r>
    <n v="915"/>
    <x v="76"/>
    <x v="0"/>
    <x v="2"/>
    <n v="480"/>
    <n v="19"/>
    <n v="1648"/>
    <n v="1552"/>
    <n v="96"/>
    <n v="13.2"/>
    <n v="461"/>
    <n v="0.9604166666666667"/>
    <n v="0.78646420824295005"/>
    <n v="0.94174757281553401"/>
    <n v="0.71133333333333337"/>
  </r>
  <r>
    <n v="916"/>
    <x v="76"/>
    <x v="0"/>
    <x v="3"/>
    <n v="480"/>
    <n v="5"/>
    <n v="1980"/>
    <n v="1942"/>
    <n v="38"/>
    <n v="13.8"/>
    <n v="475"/>
    <n v="0.98958333333333337"/>
    <n v="0.95873684210526311"/>
    <n v="0.9808080808080808"/>
    <n v="0.9305416666666666"/>
  </r>
  <r>
    <n v="917"/>
    <x v="76"/>
    <x v="1"/>
    <x v="0"/>
    <n v="480"/>
    <n v="5"/>
    <n v="1905"/>
    <n v="1798"/>
    <n v="107"/>
    <n v="12"/>
    <n v="475"/>
    <n v="0.98958333333333337"/>
    <n v="0.80210526315789477"/>
    <n v="0.94383202099737529"/>
    <n v="0.74916666666666665"/>
  </r>
  <r>
    <n v="918"/>
    <x v="76"/>
    <x v="1"/>
    <x v="1"/>
    <n v="480"/>
    <n v="152"/>
    <n v="1399"/>
    <n v="1380"/>
    <n v="19"/>
    <n v="12.6"/>
    <n v="328"/>
    <n v="0.68333333333333335"/>
    <n v="0.89570121951219506"/>
    <n v="0.98641887062187272"/>
    <n v="0.6037499999999999"/>
  </r>
  <r>
    <n v="919"/>
    <x v="76"/>
    <x v="1"/>
    <x v="2"/>
    <n v="480"/>
    <n v="12"/>
    <n v="1878"/>
    <n v="1770"/>
    <n v="108"/>
    <n v="13.2"/>
    <n v="468"/>
    <n v="0.97499999999999998"/>
    <n v="0.88282051282051277"/>
    <n v="0.94249201277955275"/>
    <n v="0.81124999999999992"/>
  </r>
  <r>
    <n v="920"/>
    <x v="76"/>
    <x v="1"/>
    <x v="3"/>
    <n v="480"/>
    <n v="12"/>
    <n v="1926"/>
    <n v="1865"/>
    <n v="61"/>
    <n v="13.8"/>
    <n v="468"/>
    <n v="0.97499999999999998"/>
    <n v="0.94653846153846166"/>
    <n v="0.9683281412253375"/>
    <n v="0.89364583333333347"/>
  </r>
  <r>
    <n v="921"/>
    <x v="76"/>
    <x v="2"/>
    <x v="0"/>
    <n v="480"/>
    <n v="0"/>
    <n v="1905"/>
    <n v="1813"/>
    <n v="92"/>
    <n v="12"/>
    <n v="480"/>
    <n v="1"/>
    <n v="0.79374999999999996"/>
    <n v="0.95170603674540677"/>
    <n v="0.75541666666666663"/>
  </r>
  <r>
    <n v="922"/>
    <x v="76"/>
    <x v="2"/>
    <x v="1"/>
    <n v="480"/>
    <n v="17"/>
    <n v="1889"/>
    <n v="1782"/>
    <n v="107"/>
    <n v="12.6"/>
    <n v="463"/>
    <n v="0.96458333333333335"/>
    <n v="0.85678185745140378"/>
    <n v="0.94335627316040238"/>
    <n v="0.77962500000000001"/>
  </r>
  <r>
    <n v="923"/>
    <x v="76"/>
    <x v="2"/>
    <x v="2"/>
    <n v="480"/>
    <n v="5"/>
    <n v="1872"/>
    <n v="1811"/>
    <n v="61"/>
    <n v="13.2"/>
    <n v="475"/>
    <n v="0.98958333333333337"/>
    <n v="0.86703157894736838"/>
    <n v="0.96741452991452992"/>
    <n v="0.83004166666666668"/>
  </r>
  <r>
    <n v="924"/>
    <x v="76"/>
    <x v="2"/>
    <x v="3"/>
    <n v="480"/>
    <n v="63"/>
    <n v="1443"/>
    <n v="1426"/>
    <n v="17"/>
    <n v="13.8"/>
    <n v="417"/>
    <n v="0.86875000000000002"/>
    <n v="0.7958992805755396"/>
    <n v="0.98821898821898824"/>
    <n v="0.68329166666666674"/>
  </r>
  <r>
    <n v="925"/>
    <x v="77"/>
    <x v="0"/>
    <x v="0"/>
    <n v="480"/>
    <n v="11"/>
    <n v="2191"/>
    <n v="2076"/>
    <n v="115"/>
    <n v="12"/>
    <n v="469"/>
    <n v="0.9770833333333333"/>
    <n v="0.93432835820895521"/>
    <n v="0.94751255134641721"/>
    <n v="0.86499999999999999"/>
  </r>
  <r>
    <n v="926"/>
    <x v="77"/>
    <x v="0"/>
    <x v="1"/>
    <n v="480"/>
    <n v="13"/>
    <n v="1778"/>
    <n v="1735"/>
    <n v="43"/>
    <n v="12.6"/>
    <n v="467"/>
    <n v="0.97291666666666665"/>
    <n v="0.7995289079229122"/>
    <n v="0.9758155230596175"/>
    <n v="0.75906249999999997"/>
  </r>
  <r>
    <n v="927"/>
    <x v="77"/>
    <x v="0"/>
    <x v="2"/>
    <n v="480"/>
    <n v="0"/>
    <n v="1826"/>
    <n v="1725"/>
    <n v="101"/>
    <n v="13.2"/>
    <n v="480"/>
    <n v="1"/>
    <n v="0.83691666666666653"/>
    <n v="0.94468784227820368"/>
    <n v="0.7906249999999998"/>
  </r>
  <r>
    <n v="928"/>
    <x v="77"/>
    <x v="0"/>
    <x v="3"/>
    <n v="480"/>
    <n v="62"/>
    <n v="1654"/>
    <n v="1585"/>
    <n v="69"/>
    <n v="13.8"/>
    <n v="418"/>
    <n v="0.87083333333333335"/>
    <n v="0.91009569377990429"/>
    <n v="0.95828295042321643"/>
    <n v="0.75947916666666671"/>
  </r>
  <r>
    <n v="929"/>
    <x v="77"/>
    <x v="1"/>
    <x v="0"/>
    <n v="480"/>
    <n v="5"/>
    <n v="2298"/>
    <n v="2221"/>
    <n v="77"/>
    <n v="12"/>
    <n v="475"/>
    <n v="0.98958333333333337"/>
    <n v="0.96757894736842109"/>
    <n v="0.96649260226283729"/>
    <n v="0.92541666666666678"/>
  </r>
  <r>
    <n v="930"/>
    <x v="77"/>
    <x v="1"/>
    <x v="1"/>
    <n v="480"/>
    <n v="102"/>
    <n v="1369"/>
    <n v="1317"/>
    <n v="52"/>
    <n v="12.6"/>
    <n v="378"/>
    <n v="0.78749999999999998"/>
    <n v="0.76055555555555543"/>
    <n v="0.96201607012417822"/>
    <n v="0.57618749999999985"/>
  </r>
  <r>
    <n v="931"/>
    <x v="77"/>
    <x v="1"/>
    <x v="2"/>
    <n v="480"/>
    <n v="96"/>
    <n v="1317"/>
    <n v="1255"/>
    <n v="62"/>
    <n v="13.2"/>
    <n v="384"/>
    <n v="0.8"/>
    <n v="0.75453124999999988"/>
    <n v="0.95292331055429003"/>
    <n v="0.57520833333333332"/>
  </r>
  <r>
    <n v="932"/>
    <x v="77"/>
    <x v="1"/>
    <x v="3"/>
    <n v="480"/>
    <n v="77"/>
    <n v="1459"/>
    <n v="1405"/>
    <n v="54"/>
    <n v="13.8"/>
    <n v="403"/>
    <n v="0.83958333333333335"/>
    <n v="0.83267990074441689"/>
    <n v="0.9629883481836875"/>
    <n v="0.67322916666666666"/>
  </r>
  <r>
    <n v="933"/>
    <x v="77"/>
    <x v="2"/>
    <x v="0"/>
    <n v="480"/>
    <n v="92"/>
    <n v="1543"/>
    <n v="1482"/>
    <n v="61"/>
    <n v="12"/>
    <n v="388"/>
    <n v="0.80833333333333335"/>
    <n v="0.79536082474226799"/>
    <n v="0.9604666234607907"/>
    <n v="0.61750000000000005"/>
  </r>
  <r>
    <n v="934"/>
    <x v="77"/>
    <x v="2"/>
    <x v="1"/>
    <n v="480"/>
    <n v="0"/>
    <n v="1931"/>
    <n v="1859"/>
    <n v="72"/>
    <n v="12.6"/>
    <n v="480"/>
    <n v="1"/>
    <n v="0.84481249999999997"/>
    <n v="0.9627136198860694"/>
    <n v="0.81331249999999999"/>
  </r>
  <r>
    <n v="935"/>
    <x v="77"/>
    <x v="2"/>
    <x v="2"/>
    <n v="480"/>
    <n v="90"/>
    <n v="1453"/>
    <n v="1408"/>
    <n v="45"/>
    <n v="13.2"/>
    <n v="390"/>
    <n v="0.8125"/>
    <n v="0.81964102564102559"/>
    <n v="0.96902959394356503"/>
    <n v="0.64533333333333331"/>
  </r>
  <r>
    <n v="936"/>
    <x v="77"/>
    <x v="2"/>
    <x v="3"/>
    <n v="480"/>
    <n v="132"/>
    <n v="1218"/>
    <n v="1192"/>
    <n v="26"/>
    <n v="13.8"/>
    <n v="348"/>
    <n v="0.72499999999999998"/>
    <n v="0.80500000000000005"/>
    <n v="0.97865353037766833"/>
    <n v="0.57116666666666671"/>
  </r>
  <r>
    <n v="937"/>
    <x v="78"/>
    <x v="0"/>
    <x v="0"/>
    <n v="480"/>
    <n v="0"/>
    <n v="2312"/>
    <n v="2222"/>
    <n v="90"/>
    <n v="12"/>
    <n v="480"/>
    <n v="1"/>
    <n v="0.96333333333333337"/>
    <n v="0.96107266435986161"/>
    <n v="0.9258333333333334"/>
  </r>
  <r>
    <n v="938"/>
    <x v="78"/>
    <x v="0"/>
    <x v="1"/>
    <n v="480"/>
    <n v="85"/>
    <n v="1742"/>
    <n v="1695"/>
    <n v="47"/>
    <n v="12.6"/>
    <n v="395"/>
    <n v="0.82291666666666663"/>
    <n v="0.92612658227848099"/>
    <n v="0.97301951779563722"/>
    <n v="0.74156250000000001"/>
  </r>
  <r>
    <n v="939"/>
    <x v="78"/>
    <x v="0"/>
    <x v="2"/>
    <n v="480"/>
    <n v="12"/>
    <n v="1697"/>
    <n v="1659"/>
    <n v="38"/>
    <n v="13.2"/>
    <n v="468"/>
    <n v="0.97499999999999998"/>
    <n v="0.7977350427350427"/>
    <n v="0.97760754272245143"/>
    <n v="0.76037500000000002"/>
  </r>
  <r>
    <n v="940"/>
    <x v="78"/>
    <x v="0"/>
    <x v="3"/>
    <n v="480"/>
    <n v="45"/>
    <n v="1573"/>
    <n v="1499"/>
    <n v="74"/>
    <n v="13.8"/>
    <n v="435"/>
    <n v="0.90625"/>
    <n v="0.83170114942528739"/>
    <n v="0.95295613477431662"/>
    <n v="0.71827083333333341"/>
  </r>
  <r>
    <n v="941"/>
    <x v="78"/>
    <x v="1"/>
    <x v="0"/>
    <n v="480"/>
    <n v="122"/>
    <n v="1584"/>
    <n v="1533"/>
    <n v="51"/>
    <n v="12"/>
    <n v="358"/>
    <n v="0.74583333333333335"/>
    <n v="0.88491620111731839"/>
    <n v="0.96780303030303028"/>
    <n v="0.63875000000000004"/>
  </r>
  <r>
    <n v="942"/>
    <x v="78"/>
    <x v="1"/>
    <x v="1"/>
    <n v="480"/>
    <n v="15"/>
    <n v="1998"/>
    <n v="1900"/>
    <n v="98"/>
    <n v="12.6"/>
    <n v="465"/>
    <n v="0.96875"/>
    <n v="0.90232258064516124"/>
    <n v="0.95095095095095095"/>
    <n v="0.83124999999999993"/>
  </r>
  <r>
    <n v="943"/>
    <x v="78"/>
    <x v="1"/>
    <x v="2"/>
    <n v="480"/>
    <n v="33"/>
    <n v="1619"/>
    <n v="1564"/>
    <n v="55"/>
    <n v="13.2"/>
    <n v="447"/>
    <n v="0.93125000000000002"/>
    <n v="0.79682326621923938"/>
    <n v="0.96602841260037065"/>
    <n v="0.71683333333333343"/>
  </r>
  <r>
    <n v="944"/>
    <x v="78"/>
    <x v="1"/>
    <x v="3"/>
    <n v="480"/>
    <n v="70"/>
    <n v="1723"/>
    <n v="1661"/>
    <n v="62"/>
    <n v="13.8"/>
    <n v="410"/>
    <n v="0.85416666666666663"/>
    <n v="0.96656097560975618"/>
    <n v="0.96401625072547881"/>
    <n v="0.79589583333333336"/>
  </r>
  <r>
    <n v="945"/>
    <x v="78"/>
    <x v="2"/>
    <x v="0"/>
    <n v="480"/>
    <n v="10"/>
    <n v="1861"/>
    <n v="1809"/>
    <n v="52"/>
    <n v="12"/>
    <n v="470"/>
    <n v="0.97916666666666663"/>
    <n v="0.79191489361702128"/>
    <n v="0.97205803331542184"/>
    <n v="0.75375000000000003"/>
  </r>
  <r>
    <n v="946"/>
    <x v="78"/>
    <x v="2"/>
    <x v="1"/>
    <n v="480"/>
    <n v="25"/>
    <n v="1902"/>
    <n v="1813"/>
    <n v="89"/>
    <n v="12.6"/>
    <n v="455"/>
    <n v="0.94791666666666663"/>
    <n v="0.87784615384615383"/>
    <n v="0.95320715036803361"/>
    <n v="0.79318749999999993"/>
  </r>
  <r>
    <n v="947"/>
    <x v="78"/>
    <x v="2"/>
    <x v="2"/>
    <n v="480"/>
    <n v="67"/>
    <n v="1675"/>
    <n v="1633"/>
    <n v="42"/>
    <n v="13.2"/>
    <n v="413"/>
    <n v="0.86041666666666672"/>
    <n v="0.89225181598062953"/>
    <n v="0.97492537313432837"/>
    <n v="0.74845833333333334"/>
  </r>
  <r>
    <n v="948"/>
    <x v="78"/>
    <x v="2"/>
    <x v="3"/>
    <n v="480"/>
    <n v="0"/>
    <n v="1608"/>
    <n v="1518"/>
    <n v="90"/>
    <n v="13.8"/>
    <n v="480"/>
    <n v="1"/>
    <n v="0.77050000000000007"/>
    <n v="0.94402985074626866"/>
    <n v="0.7273750000000001"/>
  </r>
  <r>
    <n v="949"/>
    <x v="79"/>
    <x v="0"/>
    <x v="0"/>
    <n v="480"/>
    <n v="17"/>
    <n v="2181"/>
    <n v="2155"/>
    <n v="26"/>
    <n v="12"/>
    <n v="463"/>
    <n v="0.96458333333333335"/>
    <n v="0.94211663066954643"/>
    <n v="0.98807886290692348"/>
    <n v="0.89791666666666681"/>
  </r>
  <r>
    <n v="950"/>
    <x v="79"/>
    <x v="0"/>
    <x v="1"/>
    <n v="480"/>
    <n v="10"/>
    <n v="2172"/>
    <n v="2084"/>
    <n v="88"/>
    <n v="12.6"/>
    <n v="470"/>
    <n v="0.97916666666666663"/>
    <n v="0.97046808510638305"/>
    <n v="0.95948434622467771"/>
    <n v="0.91175000000000006"/>
  </r>
  <r>
    <n v="951"/>
    <x v="79"/>
    <x v="0"/>
    <x v="2"/>
    <n v="480"/>
    <n v="12"/>
    <n v="2026"/>
    <n v="1964"/>
    <n v="62"/>
    <n v="13.2"/>
    <n v="468"/>
    <n v="0.97499999999999998"/>
    <n v="0.9523931623931623"/>
    <n v="0.96939782823297138"/>
    <n v="0.90016666666666656"/>
  </r>
  <r>
    <n v="952"/>
    <x v="79"/>
    <x v="0"/>
    <x v="3"/>
    <n v="480"/>
    <n v="77"/>
    <n v="1679"/>
    <n v="1652"/>
    <n v="27"/>
    <n v="13.8"/>
    <n v="403"/>
    <n v="0.83958333333333335"/>
    <n v="0.95823821339950377"/>
    <n v="0.98391899940440741"/>
    <n v="0.79158333333333342"/>
  </r>
  <r>
    <n v="953"/>
    <x v="79"/>
    <x v="1"/>
    <x v="0"/>
    <n v="480"/>
    <n v="22"/>
    <n v="2215"/>
    <n v="2162"/>
    <n v="53"/>
    <n v="12"/>
    <n v="458"/>
    <n v="0.95416666666666672"/>
    <n v="0.96724890829694321"/>
    <n v="0.97607223476297966"/>
    <n v="0.90083333333333337"/>
  </r>
  <r>
    <n v="954"/>
    <x v="79"/>
    <x v="1"/>
    <x v="1"/>
    <n v="480"/>
    <n v="50"/>
    <n v="1850"/>
    <n v="1820"/>
    <n v="30"/>
    <n v="12.6"/>
    <n v="430"/>
    <n v="0.89583333333333337"/>
    <n v="0.90348837209302324"/>
    <n v="0.98378378378378384"/>
    <n v="0.79625000000000012"/>
  </r>
  <r>
    <n v="955"/>
    <x v="79"/>
    <x v="1"/>
    <x v="2"/>
    <n v="480"/>
    <n v="5"/>
    <n v="2082"/>
    <n v="1987"/>
    <n v="95"/>
    <n v="13.2"/>
    <n v="475"/>
    <n v="0.98958333333333337"/>
    <n v="0.9642947368421052"/>
    <n v="0.95437079731027863"/>
    <n v="0.91070833333333334"/>
  </r>
  <r>
    <n v="956"/>
    <x v="79"/>
    <x v="1"/>
    <x v="3"/>
    <n v="480"/>
    <n v="19"/>
    <n v="1858"/>
    <n v="1830"/>
    <n v="28"/>
    <n v="13.8"/>
    <n v="461"/>
    <n v="0.9604166666666667"/>
    <n v="0.92698481561822133"/>
    <n v="0.98493003229278797"/>
    <n v="0.87687500000000007"/>
  </r>
  <r>
    <n v="957"/>
    <x v="79"/>
    <x v="2"/>
    <x v="0"/>
    <n v="480"/>
    <n v="66"/>
    <n v="1852"/>
    <n v="1769"/>
    <n v="83"/>
    <n v="12"/>
    <n v="414"/>
    <n v="0.86250000000000004"/>
    <n v="0.89468599033816421"/>
    <n v="0.95518358531317493"/>
    <n v="0.73708333333333331"/>
  </r>
  <r>
    <n v="958"/>
    <x v="79"/>
    <x v="2"/>
    <x v="1"/>
    <n v="480"/>
    <n v="15"/>
    <n v="1794"/>
    <n v="1755"/>
    <n v="39"/>
    <n v="12.6"/>
    <n v="465"/>
    <n v="0.96875"/>
    <n v="0.81019354838709667"/>
    <n v="0.97826086956521741"/>
    <n v="0.7678124999999999"/>
  </r>
  <r>
    <n v="959"/>
    <x v="79"/>
    <x v="2"/>
    <x v="2"/>
    <n v="480"/>
    <n v="100"/>
    <n v="1601"/>
    <n v="1569"/>
    <n v="32"/>
    <n v="13.2"/>
    <n v="380"/>
    <n v="0.79166666666666663"/>
    <n v="0.9268947368421051"/>
    <n v="0.98001249219237974"/>
    <n v="0.71912499999999979"/>
  </r>
  <r>
    <n v="960"/>
    <x v="79"/>
    <x v="2"/>
    <x v="3"/>
    <n v="480"/>
    <n v="30"/>
    <n v="1814"/>
    <n v="1776"/>
    <n v="38"/>
    <n v="13.8"/>
    <n v="450"/>
    <n v="0.9375"/>
    <n v="0.92715555555555562"/>
    <n v="0.97905181918412343"/>
    <n v="0.85099999999999998"/>
  </r>
  <r>
    <n v="961"/>
    <x v="80"/>
    <x v="0"/>
    <x v="0"/>
    <n v="480"/>
    <n v="31"/>
    <n v="1944"/>
    <n v="1908"/>
    <n v="36"/>
    <n v="12"/>
    <n v="449"/>
    <n v="0.93541666666666667"/>
    <n v="0.86592427616926504"/>
    <n v="0.98148148148148151"/>
    <n v="0.79500000000000004"/>
  </r>
  <r>
    <n v="962"/>
    <x v="80"/>
    <x v="0"/>
    <x v="1"/>
    <n v="480"/>
    <n v="67"/>
    <n v="1536"/>
    <n v="1481"/>
    <n v="55"/>
    <n v="12.6"/>
    <n v="413"/>
    <n v="0.86041666666666672"/>
    <n v="0.78101694915254227"/>
    <n v="0.96419270833333337"/>
    <n v="0.64793749999999994"/>
  </r>
  <r>
    <n v="963"/>
    <x v="80"/>
    <x v="0"/>
    <x v="2"/>
    <n v="480"/>
    <n v="0"/>
    <n v="2105"/>
    <n v="2065"/>
    <n v="40"/>
    <n v="13.2"/>
    <n v="480"/>
    <n v="1"/>
    <n v="0.96479166666666671"/>
    <n v="0.98099762470308793"/>
    <n v="0.9464583333333334"/>
  </r>
  <r>
    <n v="964"/>
    <x v="80"/>
    <x v="0"/>
    <x v="3"/>
    <n v="480"/>
    <n v="31"/>
    <n v="1669"/>
    <n v="1639"/>
    <n v="30"/>
    <n v="13.8"/>
    <n v="449"/>
    <n v="0.93541666666666667"/>
    <n v="0.85494432071269488"/>
    <n v="0.982025164769323"/>
    <n v="0.7853541666666668"/>
  </r>
  <r>
    <n v="965"/>
    <x v="80"/>
    <x v="1"/>
    <x v="0"/>
    <n v="480"/>
    <n v="42"/>
    <n v="1927"/>
    <n v="1839"/>
    <n v="88"/>
    <n v="12"/>
    <n v="438"/>
    <n v="0.91249999999999998"/>
    <n v="0.87990867579908671"/>
    <n v="0.95433316035288007"/>
    <n v="0.76624999999999988"/>
  </r>
  <r>
    <n v="966"/>
    <x v="80"/>
    <x v="1"/>
    <x v="1"/>
    <n v="480"/>
    <n v="110"/>
    <n v="1705"/>
    <n v="1652"/>
    <n v="53"/>
    <n v="12.6"/>
    <n v="370"/>
    <n v="0.77083333333333337"/>
    <n v="0.96770270270270276"/>
    <n v="0.96891495601173017"/>
    <n v="0.72275"/>
  </r>
  <r>
    <n v="967"/>
    <x v="80"/>
    <x v="1"/>
    <x v="2"/>
    <n v="480"/>
    <n v="0"/>
    <n v="1858"/>
    <n v="1836"/>
    <n v="22"/>
    <n v="13.2"/>
    <n v="480"/>
    <n v="1"/>
    <n v="0.85158333333333325"/>
    <n v="0.98815931108719057"/>
    <n v="0.84149999999999991"/>
  </r>
  <r>
    <n v="968"/>
    <x v="80"/>
    <x v="1"/>
    <x v="3"/>
    <n v="480"/>
    <n v="18"/>
    <n v="1907"/>
    <n v="1825"/>
    <n v="82"/>
    <n v="13.8"/>
    <n v="462"/>
    <n v="0.96250000000000002"/>
    <n v="0.94937229437229442"/>
    <n v="0.95700052438384897"/>
    <n v="0.8744791666666667"/>
  </r>
  <r>
    <n v="969"/>
    <x v="80"/>
    <x v="2"/>
    <x v="0"/>
    <n v="480"/>
    <n v="60"/>
    <n v="1967"/>
    <n v="1864"/>
    <n v="103"/>
    <n v="12"/>
    <n v="420"/>
    <n v="0.875"/>
    <n v="0.93666666666666665"/>
    <n v="0.94763599389933906"/>
    <n v="0.77666666666666662"/>
  </r>
  <r>
    <n v="970"/>
    <x v="80"/>
    <x v="2"/>
    <x v="1"/>
    <n v="480"/>
    <n v="41"/>
    <n v="1914"/>
    <n v="1853"/>
    <n v="61"/>
    <n v="12.6"/>
    <n v="439"/>
    <n v="0.9145833333333333"/>
    <n v="0.9155808656036446"/>
    <n v="0.9681295715778474"/>
    <n v="0.81068750000000001"/>
  </r>
  <r>
    <n v="971"/>
    <x v="80"/>
    <x v="2"/>
    <x v="2"/>
    <n v="480"/>
    <n v="5"/>
    <n v="2019"/>
    <n v="1991"/>
    <n v="28"/>
    <n v="13.2"/>
    <n v="475"/>
    <n v="0.98958333333333337"/>
    <n v="0.93511578947368423"/>
    <n v="0.98613174839029227"/>
    <n v="0.91254166666666681"/>
  </r>
  <r>
    <n v="972"/>
    <x v="80"/>
    <x v="2"/>
    <x v="3"/>
    <n v="480"/>
    <n v="0"/>
    <n v="1750"/>
    <n v="1691"/>
    <n v="59"/>
    <n v="13.8"/>
    <n v="480"/>
    <n v="1"/>
    <n v="0.83854166666666663"/>
    <n v="0.9662857142857143"/>
    <n v="0.81027083333333327"/>
  </r>
  <r>
    <n v="973"/>
    <x v="81"/>
    <x v="0"/>
    <x v="0"/>
    <n v="480"/>
    <n v="61"/>
    <n v="1582"/>
    <n v="1533"/>
    <n v="49"/>
    <n v="12"/>
    <n v="419"/>
    <n v="0.87291666666666667"/>
    <n v="0.75513126491646776"/>
    <n v="0.96902654867256632"/>
    <n v="0.63874999999999993"/>
  </r>
  <r>
    <n v="974"/>
    <x v="81"/>
    <x v="0"/>
    <x v="1"/>
    <n v="480"/>
    <n v="18"/>
    <n v="1721"/>
    <n v="1651"/>
    <n v="70"/>
    <n v="12.6"/>
    <n v="462"/>
    <n v="0.96250000000000002"/>
    <n v="0.78227272727272723"/>
    <n v="0.95932597327135383"/>
    <n v="0.72231249999999991"/>
  </r>
  <r>
    <n v="975"/>
    <x v="81"/>
    <x v="0"/>
    <x v="2"/>
    <n v="480"/>
    <n v="0"/>
    <n v="1889"/>
    <n v="1819"/>
    <n v="70"/>
    <n v="13.2"/>
    <n v="480"/>
    <n v="1"/>
    <n v="0.86579166666666663"/>
    <n v="0.96294335627316041"/>
    <n v="0.83370833333333327"/>
  </r>
  <r>
    <n v="976"/>
    <x v="81"/>
    <x v="0"/>
    <x v="3"/>
    <n v="480"/>
    <n v="20"/>
    <n v="1724"/>
    <n v="1676"/>
    <n v="48"/>
    <n v="13.8"/>
    <n v="460"/>
    <n v="0.95833333333333337"/>
    <n v="0.86199999999999999"/>
    <n v="0.97215777262180969"/>
    <n v="0.80308333333333337"/>
  </r>
  <r>
    <n v="977"/>
    <x v="81"/>
    <x v="1"/>
    <x v="0"/>
    <n v="480"/>
    <n v="6"/>
    <n v="2261"/>
    <n v="2234"/>
    <n v="27"/>
    <n v="12"/>
    <n v="474"/>
    <n v="0.98750000000000004"/>
    <n v="0.95400843881856545"/>
    <n v="0.98805838124723577"/>
    <n v="0.9308333333333334"/>
  </r>
  <r>
    <n v="978"/>
    <x v="81"/>
    <x v="1"/>
    <x v="1"/>
    <n v="480"/>
    <n v="165"/>
    <n v="1466"/>
    <n v="1449"/>
    <n v="17"/>
    <n v="12.6"/>
    <n v="315"/>
    <n v="0.65625"/>
    <n v="0.97733333333333328"/>
    <n v="0.98840381991814463"/>
    <n v="0.63393749999999993"/>
  </r>
  <r>
    <n v="979"/>
    <x v="81"/>
    <x v="1"/>
    <x v="2"/>
    <n v="480"/>
    <n v="28"/>
    <n v="1889"/>
    <n v="1853"/>
    <n v="36"/>
    <n v="13.2"/>
    <n v="452"/>
    <n v="0.94166666666666665"/>
    <n v="0.91942477876106188"/>
    <n v="0.98094229751191109"/>
    <n v="0.84929166666666667"/>
  </r>
  <r>
    <n v="980"/>
    <x v="81"/>
    <x v="1"/>
    <x v="3"/>
    <n v="480"/>
    <n v="71"/>
    <n v="1545"/>
    <n v="1503"/>
    <n v="42"/>
    <n v="13.8"/>
    <n v="409"/>
    <n v="0.8520833333333333"/>
    <n v="0.86882640586797066"/>
    <n v="0.97281553398058251"/>
    <n v="0.72018749999999987"/>
  </r>
  <r>
    <n v="981"/>
    <x v="81"/>
    <x v="2"/>
    <x v="0"/>
    <n v="480"/>
    <n v="47"/>
    <n v="1889"/>
    <n v="1781"/>
    <n v="108"/>
    <n v="12"/>
    <n v="433"/>
    <n v="0.90208333333333335"/>
    <n v="0.8725173210161663"/>
    <n v="0.94282689253573315"/>
    <n v="0.74208333333333332"/>
  </r>
  <r>
    <n v="982"/>
    <x v="81"/>
    <x v="2"/>
    <x v="1"/>
    <n v="480"/>
    <n v="18"/>
    <n v="2007"/>
    <n v="1893"/>
    <n v="114"/>
    <n v="12.6"/>
    <n v="462"/>
    <n v="0.96250000000000002"/>
    <n v="0.91227272727272735"/>
    <n v="0.94319880418535129"/>
    <n v="0.82818750000000008"/>
  </r>
  <r>
    <n v="983"/>
    <x v="81"/>
    <x v="2"/>
    <x v="2"/>
    <n v="480"/>
    <n v="15"/>
    <n v="1667"/>
    <n v="1587"/>
    <n v="80"/>
    <n v="13.2"/>
    <n v="465"/>
    <n v="0.96875"/>
    <n v="0.78868817204301067"/>
    <n v="0.95200959808038388"/>
    <n v="0.72737499999999988"/>
  </r>
  <r>
    <n v="984"/>
    <x v="81"/>
    <x v="2"/>
    <x v="3"/>
    <n v="480"/>
    <n v="45"/>
    <n v="1788"/>
    <n v="1728"/>
    <n v="60"/>
    <n v="13.8"/>
    <n v="435"/>
    <n v="0.90625"/>
    <n v="0.94537931034482769"/>
    <n v="0.96644295302013428"/>
    <n v="0.82800000000000018"/>
  </r>
  <r>
    <n v="985"/>
    <x v="82"/>
    <x v="0"/>
    <x v="0"/>
    <n v="480"/>
    <n v="5"/>
    <n v="2273"/>
    <n v="2174"/>
    <n v="99"/>
    <n v="12"/>
    <n v="475"/>
    <n v="0.98958333333333337"/>
    <n v="0.95705263157894738"/>
    <n v="0.95644522657281128"/>
    <n v="0.90583333333333338"/>
  </r>
  <r>
    <n v="986"/>
    <x v="82"/>
    <x v="0"/>
    <x v="1"/>
    <n v="480"/>
    <n v="5"/>
    <n v="1737"/>
    <n v="1674"/>
    <n v="63"/>
    <n v="12.6"/>
    <n v="475"/>
    <n v="0.98958333333333337"/>
    <n v="0.76793684210526314"/>
    <n v="0.96373056994818651"/>
    <n v="0.732375"/>
  </r>
  <r>
    <n v="987"/>
    <x v="82"/>
    <x v="0"/>
    <x v="2"/>
    <n v="480"/>
    <n v="54"/>
    <n v="1758"/>
    <n v="1712"/>
    <n v="46"/>
    <n v="13.2"/>
    <n v="426"/>
    <n v="0.88749999999999996"/>
    <n v="0.90788732394366189"/>
    <n v="0.97383390216154719"/>
    <n v="0.78466666666666651"/>
  </r>
  <r>
    <n v="988"/>
    <x v="82"/>
    <x v="0"/>
    <x v="3"/>
    <n v="480"/>
    <n v="0"/>
    <n v="2033"/>
    <n v="1984"/>
    <n v="49"/>
    <n v="13.8"/>
    <n v="480"/>
    <n v="1"/>
    <n v="0.97414583333333338"/>
    <n v="0.97589768814559763"/>
    <n v="0.95066666666666666"/>
  </r>
  <r>
    <n v="989"/>
    <x v="82"/>
    <x v="1"/>
    <x v="0"/>
    <n v="480"/>
    <n v="16"/>
    <n v="1826"/>
    <n v="1727"/>
    <n v="99"/>
    <n v="12"/>
    <n v="464"/>
    <n v="0.96666666666666667"/>
    <n v="0.78706896551724137"/>
    <n v="0.94578313253012047"/>
    <n v="0.71958333333333335"/>
  </r>
  <r>
    <n v="990"/>
    <x v="82"/>
    <x v="1"/>
    <x v="1"/>
    <n v="480"/>
    <n v="52"/>
    <n v="1796"/>
    <n v="1742"/>
    <n v="54"/>
    <n v="12.6"/>
    <n v="428"/>
    <n v="0.89166666666666672"/>
    <n v="0.88121495327102795"/>
    <n v="0.96993318485523383"/>
    <n v="0.76212499999999994"/>
  </r>
  <r>
    <n v="991"/>
    <x v="82"/>
    <x v="1"/>
    <x v="2"/>
    <n v="480"/>
    <n v="105"/>
    <n v="1347"/>
    <n v="1294"/>
    <n v="53"/>
    <n v="13.2"/>
    <n v="375"/>
    <n v="0.78125"/>
    <n v="0.79023999999999994"/>
    <n v="0.9606533036377134"/>
    <n v="0.5930833333333333"/>
  </r>
  <r>
    <n v="992"/>
    <x v="82"/>
    <x v="1"/>
    <x v="3"/>
    <n v="480"/>
    <n v="78"/>
    <n v="1505"/>
    <n v="1450"/>
    <n v="55"/>
    <n v="13.8"/>
    <n v="402"/>
    <n v="0.83750000000000002"/>
    <n v="0.86106965174129357"/>
    <n v="0.96345514950166111"/>
    <n v="0.6947916666666667"/>
  </r>
  <r>
    <n v="993"/>
    <x v="82"/>
    <x v="2"/>
    <x v="0"/>
    <n v="480"/>
    <n v="56"/>
    <n v="1685"/>
    <n v="1611"/>
    <n v="74"/>
    <n v="12"/>
    <n v="424"/>
    <n v="0.8833333333333333"/>
    <n v="0.79481132075471694"/>
    <n v="0.95608308605341241"/>
    <n v="0.6712499999999999"/>
  </r>
  <r>
    <n v="994"/>
    <x v="82"/>
    <x v="2"/>
    <x v="1"/>
    <n v="480"/>
    <n v="9"/>
    <n v="1734"/>
    <n v="1690"/>
    <n v="44"/>
    <n v="12.6"/>
    <n v="471"/>
    <n v="0.98124999999999996"/>
    <n v="0.77312101910828013"/>
    <n v="0.9746251441753172"/>
    <n v="0.73937499999999989"/>
  </r>
  <r>
    <n v="995"/>
    <x v="82"/>
    <x v="2"/>
    <x v="2"/>
    <n v="480"/>
    <n v="10"/>
    <n v="2042"/>
    <n v="2001"/>
    <n v="41"/>
    <n v="13.2"/>
    <n v="470"/>
    <n v="0.97916666666666663"/>
    <n v="0.95582978723404244"/>
    <n v="0.97992164544564153"/>
    <n v="0.91712499999999986"/>
  </r>
  <r>
    <n v="996"/>
    <x v="82"/>
    <x v="2"/>
    <x v="3"/>
    <n v="480"/>
    <n v="45"/>
    <n v="1451"/>
    <n v="1427"/>
    <n v="24"/>
    <n v="13.8"/>
    <n v="435"/>
    <n v="0.90625"/>
    <n v="0.76719540229885053"/>
    <n v="0.98345968297725705"/>
    <n v="0.68377083333333333"/>
  </r>
  <r>
    <n v="997"/>
    <x v="83"/>
    <x v="0"/>
    <x v="0"/>
    <n v="480"/>
    <n v="24"/>
    <n v="1844"/>
    <n v="1766"/>
    <n v="78"/>
    <n v="12"/>
    <n v="456"/>
    <n v="0.95"/>
    <n v="0.80877192982456136"/>
    <n v="0.95770065075921906"/>
    <n v="0.73583333333333334"/>
  </r>
  <r>
    <n v="998"/>
    <x v="83"/>
    <x v="0"/>
    <x v="1"/>
    <n v="480"/>
    <n v="0"/>
    <n v="1996"/>
    <n v="1933"/>
    <n v="63"/>
    <n v="12.6"/>
    <n v="480"/>
    <n v="1"/>
    <n v="0.87324999999999997"/>
    <n v="0.96843687374749499"/>
    <n v="0.84568749999999993"/>
  </r>
  <r>
    <n v="999"/>
    <x v="83"/>
    <x v="0"/>
    <x v="2"/>
    <n v="480"/>
    <n v="170"/>
    <n v="1253"/>
    <n v="1216"/>
    <n v="37"/>
    <n v="13.2"/>
    <n v="310"/>
    <n v="0.64583333333333337"/>
    <n v="0.88922580645161287"/>
    <n v="0.97047086991221065"/>
    <n v="0.55733333333333324"/>
  </r>
  <r>
    <n v="1000"/>
    <x v="83"/>
    <x v="0"/>
    <x v="3"/>
    <n v="480"/>
    <n v="9"/>
    <n v="1966"/>
    <n v="1911"/>
    <n v="55"/>
    <n v="13.8"/>
    <n v="471"/>
    <n v="0.98124999999999996"/>
    <n v="0.96004246284501071"/>
    <n v="0.97202441505595116"/>
    <n v="0.91568749999999999"/>
  </r>
  <r>
    <n v="1001"/>
    <x v="83"/>
    <x v="1"/>
    <x v="0"/>
    <n v="480"/>
    <n v="15"/>
    <n v="2072"/>
    <n v="2017"/>
    <n v="55"/>
    <n v="12"/>
    <n v="465"/>
    <n v="0.96875"/>
    <n v="0.89118279569892478"/>
    <n v="0.97345559845559848"/>
    <n v="0.8404166666666667"/>
  </r>
  <r>
    <n v="1002"/>
    <x v="83"/>
    <x v="1"/>
    <x v="1"/>
    <n v="480"/>
    <n v="17"/>
    <n v="1855"/>
    <n v="1791"/>
    <n v="64"/>
    <n v="12.6"/>
    <n v="463"/>
    <n v="0.96458333333333335"/>
    <n v="0.84136069114470846"/>
    <n v="0.9654986522911051"/>
    <n v="0.78356250000000005"/>
  </r>
  <r>
    <n v="1003"/>
    <x v="83"/>
    <x v="1"/>
    <x v="2"/>
    <n v="480"/>
    <n v="14"/>
    <n v="1755"/>
    <n v="1726"/>
    <n v="29"/>
    <n v="13.2"/>
    <n v="466"/>
    <n v="0.97083333333333333"/>
    <n v="0.82854077253218883"/>
    <n v="0.98347578347578346"/>
    <n v="0.79108333333333325"/>
  </r>
  <r>
    <n v="1004"/>
    <x v="83"/>
    <x v="1"/>
    <x v="3"/>
    <n v="480"/>
    <n v="22"/>
    <n v="1686"/>
    <n v="1589"/>
    <n v="97"/>
    <n v="13.8"/>
    <n v="458"/>
    <n v="0.95416666666666672"/>
    <n v="0.84668122270742374"/>
    <n v="0.94246737841043893"/>
    <n v="0.7613958333333336"/>
  </r>
  <r>
    <n v="1005"/>
    <x v="83"/>
    <x v="2"/>
    <x v="0"/>
    <n v="480"/>
    <n v="47"/>
    <n v="1662"/>
    <n v="1640"/>
    <n v="22"/>
    <n v="12"/>
    <n v="433"/>
    <n v="0.90208333333333335"/>
    <n v="0.76766743648960734"/>
    <n v="0.98676293622141997"/>
    <n v="0.68333333333333335"/>
  </r>
  <r>
    <n v="1006"/>
    <x v="83"/>
    <x v="2"/>
    <x v="1"/>
    <n v="480"/>
    <n v="23"/>
    <n v="2049"/>
    <n v="2016"/>
    <n v="33"/>
    <n v="12.6"/>
    <n v="457"/>
    <n v="0.95208333333333328"/>
    <n v="0.94155361050328223"/>
    <n v="0.98389458272327968"/>
    <n v="0.8819999999999999"/>
  </r>
  <r>
    <n v="1007"/>
    <x v="83"/>
    <x v="2"/>
    <x v="2"/>
    <n v="480"/>
    <n v="0"/>
    <n v="1915"/>
    <n v="1806"/>
    <n v="109"/>
    <n v="13.2"/>
    <n v="480"/>
    <n v="1"/>
    <n v="0.87770833333333331"/>
    <n v="0.94308093994778064"/>
    <n v="0.82774999999999999"/>
  </r>
  <r>
    <n v="1008"/>
    <x v="83"/>
    <x v="2"/>
    <x v="3"/>
    <n v="480"/>
    <n v="79"/>
    <n v="1643"/>
    <n v="1545"/>
    <n v="98"/>
    <n v="13.8"/>
    <n v="401"/>
    <n v="0.8354166666666667"/>
    <n v="0.94236907730673325"/>
    <n v="0.9403530127814973"/>
    <n v="0.74031250000000015"/>
  </r>
  <r>
    <n v="1009"/>
    <x v="84"/>
    <x v="0"/>
    <x v="0"/>
    <n v="480"/>
    <n v="0"/>
    <n v="1862"/>
    <n v="1787"/>
    <n v="75"/>
    <n v="12"/>
    <n v="480"/>
    <n v="1"/>
    <n v="0.77583333333333337"/>
    <n v="0.95972073039742212"/>
    <n v="0.74458333333333337"/>
  </r>
  <r>
    <n v="1010"/>
    <x v="84"/>
    <x v="0"/>
    <x v="1"/>
    <n v="480"/>
    <n v="19"/>
    <n v="1929"/>
    <n v="1840"/>
    <n v="89"/>
    <n v="12.6"/>
    <n v="461"/>
    <n v="0.9604166666666667"/>
    <n v="0.87872017353579168"/>
    <n v="0.95386210471747024"/>
    <n v="0.80500000000000005"/>
  </r>
  <r>
    <n v="1011"/>
    <x v="84"/>
    <x v="0"/>
    <x v="2"/>
    <n v="480"/>
    <n v="15"/>
    <n v="1896"/>
    <n v="1853"/>
    <n v="43"/>
    <n v="13.2"/>
    <n v="465"/>
    <n v="0.96875"/>
    <n v="0.89703225806451603"/>
    <n v="0.97732067510548526"/>
    <n v="0.84929166666666656"/>
  </r>
  <r>
    <n v="1012"/>
    <x v="84"/>
    <x v="0"/>
    <x v="3"/>
    <n v="480"/>
    <n v="0"/>
    <n v="1622"/>
    <n v="1588"/>
    <n v="34"/>
    <n v="13.8"/>
    <n v="480"/>
    <n v="1"/>
    <n v="0.77720833333333339"/>
    <n v="0.97903822441430333"/>
    <n v="0.76091666666666669"/>
  </r>
  <r>
    <n v="1013"/>
    <x v="84"/>
    <x v="1"/>
    <x v="0"/>
    <n v="480"/>
    <n v="110"/>
    <n v="1719"/>
    <n v="1681"/>
    <n v="38"/>
    <n v="12"/>
    <n v="370"/>
    <n v="0.77083333333333337"/>
    <n v="0.92918918918918914"/>
    <n v="0.97789412449098312"/>
    <n v="0.70041666666666658"/>
  </r>
  <r>
    <n v="1014"/>
    <x v="84"/>
    <x v="1"/>
    <x v="1"/>
    <n v="480"/>
    <n v="58"/>
    <n v="1813"/>
    <n v="1785"/>
    <n v="28"/>
    <n v="12.6"/>
    <n v="422"/>
    <n v="0.87916666666666665"/>
    <n v="0.90220379146919427"/>
    <n v="0.98455598455598459"/>
    <n v="0.78093749999999995"/>
  </r>
  <r>
    <n v="1015"/>
    <x v="84"/>
    <x v="1"/>
    <x v="2"/>
    <n v="480"/>
    <n v="89"/>
    <n v="1570"/>
    <n v="1499"/>
    <n v="71"/>
    <n v="13.2"/>
    <n v="391"/>
    <n v="0.81458333333333333"/>
    <n v="0.8833759590792839"/>
    <n v="0.95477707006369428"/>
    <n v="0.68704166666666666"/>
  </r>
  <r>
    <n v="1016"/>
    <x v="84"/>
    <x v="1"/>
    <x v="3"/>
    <n v="480"/>
    <n v="53"/>
    <n v="1615"/>
    <n v="1593"/>
    <n v="22"/>
    <n v="13.8"/>
    <n v="427"/>
    <n v="0.88958333333333328"/>
    <n v="0.86990632318501171"/>
    <n v="0.98637770897832822"/>
    <n v="0.76331249999999995"/>
  </r>
  <r>
    <n v="1017"/>
    <x v="84"/>
    <x v="2"/>
    <x v="0"/>
    <n v="480"/>
    <n v="0"/>
    <n v="2263"/>
    <n v="2159"/>
    <n v="104"/>
    <n v="12"/>
    <n v="480"/>
    <n v="1"/>
    <n v="0.94291666666666663"/>
    <n v="0.95404330534688464"/>
    <n v="0.89958333333333329"/>
  </r>
  <r>
    <n v="1018"/>
    <x v="84"/>
    <x v="2"/>
    <x v="1"/>
    <n v="480"/>
    <n v="14"/>
    <n v="1670"/>
    <n v="1571"/>
    <n v="99"/>
    <n v="12.6"/>
    <n v="466"/>
    <n v="0.97083333333333333"/>
    <n v="0.7525751072961373"/>
    <n v="0.94071856287425148"/>
    <n v="0.68731249999999999"/>
  </r>
  <r>
    <n v="1019"/>
    <x v="84"/>
    <x v="2"/>
    <x v="2"/>
    <n v="480"/>
    <n v="39"/>
    <n v="1920"/>
    <n v="1871"/>
    <n v="49"/>
    <n v="13.2"/>
    <n v="441"/>
    <n v="0.91874999999999996"/>
    <n v="0.95782312925170066"/>
    <n v="0.97447916666666667"/>
    <n v="0.85754166666666654"/>
  </r>
  <r>
    <n v="1020"/>
    <x v="84"/>
    <x v="2"/>
    <x v="3"/>
    <n v="480"/>
    <n v="12"/>
    <n v="1624"/>
    <n v="1583"/>
    <n v="41"/>
    <n v="13.8"/>
    <n v="468"/>
    <n v="0.97499999999999998"/>
    <n v="0.79811965811965813"/>
    <n v="0.97475369458128081"/>
    <n v="0.75852083333333331"/>
  </r>
  <r>
    <n v="1021"/>
    <x v="85"/>
    <x v="0"/>
    <x v="0"/>
    <n v="480"/>
    <n v="0"/>
    <n v="2297"/>
    <n v="2229"/>
    <n v="68"/>
    <n v="12"/>
    <n v="480"/>
    <n v="1"/>
    <n v="0.95708333333333329"/>
    <n v="0.97039616891597735"/>
    <n v="0.92874999999999996"/>
  </r>
  <r>
    <n v="1022"/>
    <x v="85"/>
    <x v="0"/>
    <x v="1"/>
    <n v="480"/>
    <n v="61"/>
    <n v="1942"/>
    <n v="1881"/>
    <n v="61"/>
    <n v="12.6"/>
    <n v="419"/>
    <n v="0.87291666666666667"/>
    <n v="0.97331742243436759"/>
    <n v="0.96858908341915551"/>
    <n v="0.8229375000000001"/>
  </r>
  <r>
    <n v="1023"/>
    <x v="85"/>
    <x v="0"/>
    <x v="2"/>
    <n v="480"/>
    <n v="87"/>
    <n v="1520"/>
    <n v="1437"/>
    <n v="83"/>
    <n v="13.2"/>
    <n v="393"/>
    <n v="0.81874999999999998"/>
    <n v="0.85089058524173034"/>
    <n v="0.94539473684210529"/>
    <n v="0.65862500000000002"/>
  </r>
  <r>
    <n v="1024"/>
    <x v="85"/>
    <x v="0"/>
    <x v="3"/>
    <n v="480"/>
    <n v="189"/>
    <n v="1043"/>
    <n v="1001"/>
    <n v="42"/>
    <n v="13.8"/>
    <n v="291"/>
    <n v="0.60624999999999996"/>
    <n v="0.82436426116838502"/>
    <n v="0.95973154362416102"/>
    <n v="0.47964583333333338"/>
  </r>
  <r>
    <n v="1025"/>
    <x v="85"/>
    <x v="1"/>
    <x v="0"/>
    <n v="480"/>
    <n v="0"/>
    <n v="1813"/>
    <n v="1755"/>
    <n v="58"/>
    <n v="12"/>
    <n v="480"/>
    <n v="1"/>
    <n v="0.75541666666666663"/>
    <n v="0.9680088251516823"/>
    <n v="0.73124999999999996"/>
  </r>
  <r>
    <n v="1026"/>
    <x v="85"/>
    <x v="1"/>
    <x v="1"/>
    <n v="480"/>
    <n v="8"/>
    <n v="2041"/>
    <n v="1969"/>
    <n v="72"/>
    <n v="12.6"/>
    <n v="472"/>
    <n v="0.98333333333333328"/>
    <n v="0.90807203389830504"/>
    <n v="0.96472317491425774"/>
    <n v="0.86143749999999997"/>
  </r>
  <r>
    <n v="1027"/>
    <x v="85"/>
    <x v="1"/>
    <x v="2"/>
    <n v="480"/>
    <n v="0"/>
    <n v="1796"/>
    <n v="1725"/>
    <n v="71"/>
    <n v="13.2"/>
    <n v="480"/>
    <n v="1"/>
    <n v="0.8231666666666666"/>
    <n v="0.96046770601336307"/>
    <n v="0.79062500000000002"/>
  </r>
  <r>
    <n v="1028"/>
    <x v="85"/>
    <x v="1"/>
    <x v="3"/>
    <n v="480"/>
    <n v="0"/>
    <n v="1635"/>
    <n v="1613"/>
    <n v="22"/>
    <n v="13.8"/>
    <n v="480"/>
    <n v="1"/>
    <n v="0.78343750000000001"/>
    <n v="0.98654434250764522"/>
    <n v="0.77289583333333334"/>
  </r>
  <r>
    <n v="1029"/>
    <x v="85"/>
    <x v="2"/>
    <x v="0"/>
    <n v="480"/>
    <n v="79"/>
    <n v="1800"/>
    <n v="1720"/>
    <n v="80"/>
    <n v="12"/>
    <n v="401"/>
    <n v="0.8354166666666667"/>
    <n v="0.89775561097256862"/>
    <n v="0.9555555555555556"/>
    <n v="0.71666666666666679"/>
  </r>
  <r>
    <n v="1030"/>
    <x v="85"/>
    <x v="2"/>
    <x v="1"/>
    <n v="480"/>
    <n v="135"/>
    <n v="1259"/>
    <n v="1244"/>
    <n v="15"/>
    <n v="12.6"/>
    <n v="345"/>
    <n v="0.71875"/>
    <n v="0.76634782608695651"/>
    <n v="0.98808578236695788"/>
    <n v="0.54425000000000001"/>
  </r>
  <r>
    <n v="1031"/>
    <x v="85"/>
    <x v="2"/>
    <x v="2"/>
    <n v="480"/>
    <n v="157"/>
    <n v="1125"/>
    <n v="1065"/>
    <n v="60"/>
    <n v="13.2"/>
    <n v="323"/>
    <n v="0.67291666666666672"/>
    <n v="0.76625386996904021"/>
    <n v="0.94666666666666666"/>
    <n v="0.48812499999999998"/>
  </r>
  <r>
    <n v="1032"/>
    <x v="85"/>
    <x v="2"/>
    <x v="3"/>
    <n v="480"/>
    <n v="68"/>
    <n v="1514"/>
    <n v="1447"/>
    <n v="67"/>
    <n v="13.8"/>
    <n v="412"/>
    <n v="0.85833333333333328"/>
    <n v="0.84519417475728154"/>
    <n v="0.95574636723910167"/>
    <n v="0.6933541666666666"/>
  </r>
  <r>
    <n v="1033"/>
    <x v="86"/>
    <x v="0"/>
    <x v="0"/>
    <n v="480"/>
    <n v="83"/>
    <n v="1783"/>
    <n v="1734"/>
    <n v="49"/>
    <n v="12"/>
    <n v="397"/>
    <n v="0.82708333333333328"/>
    <n v="0.89823677581863981"/>
    <n v="0.97251822770611329"/>
    <n v="0.72250000000000003"/>
  </r>
  <r>
    <n v="1034"/>
    <x v="86"/>
    <x v="0"/>
    <x v="1"/>
    <n v="480"/>
    <n v="0"/>
    <n v="1730"/>
    <n v="1665"/>
    <n v="65"/>
    <n v="12.6"/>
    <n v="480"/>
    <n v="1"/>
    <n v="0.75687499999999996"/>
    <n v="0.96242774566473988"/>
    <n v="0.72843749999999996"/>
  </r>
  <r>
    <n v="1035"/>
    <x v="86"/>
    <x v="0"/>
    <x v="2"/>
    <n v="480"/>
    <n v="25"/>
    <n v="1989"/>
    <n v="1927"/>
    <n v="62"/>
    <n v="13.2"/>
    <n v="455"/>
    <n v="0.94791666666666663"/>
    <n v="0.96171428571428563"/>
    <n v="0.96882855706385118"/>
    <n v="0.88320833333333326"/>
  </r>
  <r>
    <n v="1036"/>
    <x v="86"/>
    <x v="0"/>
    <x v="3"/>
    <n v="480"/>
    <n v="129"/>
    <n v="1334"/>
    <n v="1286"/>
    <n v="48"/>
    <n v="13.8"/>
    <n v="351"/>
    <n v="0.73124999999999996"/>
    <n v="0.87413105413105419"/>
    <n v="0.9640179910044977"/>
    <n v="0.61620833333333336"/>
  </r>
  <r>
    <n v="1037"/>
    <x v="86"/>
    <x v="1"/>
    <x v="0"/>
    <n v="480"/>
    <n v="0"/>
    <n v="1800"/>
    <n v="1710"/>
    <n v="90"/>
    <n v="12"/>
    <n v="480"/>
    <n v="1"/>
    <n v="0.75"/>
    <n v="0.95"/>
    <n v="0.71249999999999991"/>
  </r>
  <r>
    <n v="1038"/>
    <x v="86"/>
    <x v="1"/>
    <x v="1"/>
    <n v="480"/>
    <n v="0"/>
    <n v="2047"/>
    <n v="1933"/>
    <n v="114"/>
    <n v="12.6"/>
    <n v="480"/>
    <n v="1"/>
    <n v="0.89556250000000004"/>
    <n v="0.94430874450415236"/>
    <n v="0.84568750000000004"/>
  </r>
  <r>
    <n v="1039"/>
    <x v="86"/>
    <x v="1"/>
    <x v="2"/>
    <n v="480"/>
    <n v="0"/>
    <n v="1970"/>
    <n v="1943"/>
    <n v="27"/>
    <n v="13.2"/>
    <n v="480"/>
    <n v="1"/>
    <n v="0.9029166666666667"/>
    <n v="0.98629441624365477"/>
    <n v="0.89054166666666668"/>
  </r>
  <r>
    <n v="1040"/>
    <x v="86"/>
    <x v="1"/>
    <x v="3"/>
    <n v="480"/>
    <n v="10"/>
    <n v="1750"/>
    <n v="1681"/>
    <n v="69"/>
    <n v="13.8"/>
    <n v="470"/>
    <n v="0.97916666666666663"/>
    <n v="0.8563829787234043"/>
    <n v="0.96057142857142852"/>
    <n v="0.80547916666666663"/>
  </r>
  <r>
    <n v="1041"/>
    <x v="86"/>
    <x v="2"/>
    <x v="0"/>
    <n v="480"/>
    <n v="0"/>
    <n v="2209"/>
    <n v="2154"/>
    <n v="55"/>
    <n v="12"/>
    <n v="480"/>
    <n v="1"/>
    <n v="0.92041666666666666"/>
    <n v="0.97510185604345856"/>
    <n v="0.89749999999999996"/>
  </r>
  <r>
    <n v="1042"/>
    <x v="86"/>
    <x v="2"/>
    <x v="1"/>
    <n v="480"/>
    <n v="5"/>
    <n v="1917"/>
    <n v="1875"/>
    <n v="42"/>
    <n v="12.6"/>
    <n v="475"/>
    <n v="0.98958333333333337"/>
    <n v="0.84751578947368422"/>
    <n v="0.97809076682316121"/>
    <n v="0.8203125"/>
  </r>
  <r>
    <n v="1043"/>
    <x v="86"/>
    <x v="2"/>
    <x v="2"/>
    <n v="480"/>
    <n v="55"/>
    <n v="1536"/>
    <n v="1474"/>
    <n v="62"/>
    <n v="13.2"/>
    <n v="425"/>
    <n v="0.88541666666666663"/>
    <n v="0.79510588235294111"/>
    <n v="0.95963541666666663"/>
    <n v="0.67558333333333331"/>
  </r>
  <r>
    <n v="1044"/>
    <x v="86"/>
    <x v="2"/>
    <x v="3"/>
    <n v="480"/>
    <n v="0"/>
    <n v="1753"/>
    <n v="1673"/>
    <n v="80"/>
    <n v="13.8"/>
    <n v="480"/>
    <n v="1"/>
    <n v="0.83997916666666672"/>
    <n v="0.9543639475185397"/>
    <n v="0.80164583333333339"/>
  </r>
  <r>
    <n v="1045"/>
    <x v="87"/>
    <x v="0"/>
    <x v="0"/>
    <n v="480"/>
    <n v="26"/>
    <n v="2072"/>
    <n v="2026"/>
    <n v="46"/>
    <n v="12"/>
    <n v="454"/>
    <n v="0.9458333333333333"/>
    <n v="0.91277533039647574"/>
    <n v="0.97779922779922779"/>
    <n v="0.84416666666666662"/>
  </r>
  <r>
    <n v="1046"/>
    <x v="87"/>
    <x v="0"/>
    <x v="1"/>
    <n v="480"/>
    <n v="18"/>
    <n v="2056"/>
    <n v="1944"/>
    <n v="112"/>
    <n v="12.6"/>
    <n v="462"/>
    <n v="0.96250000000000002"/>
    <n v="0.93454545454545446"/>
    <n v="0.94552529182879375"/>
    <n v="0.85049999999999992"/>
  </r>
  <r>
    <n v="1047"/>
    <x v="87"/>
    <x v="0"/>
    <x v="2"/>
    <n v="480"/>
    <n v="45"/>
    <n v="1638"/>
    <n v="1546"/>
    <n v="92"/>
    <n v="13.2"/>
    <n v="435"/>
    <n v="0.90625"/>
    <n v="0.8284137931034482"/>
    <n v="0.94383394383394381"/>
    <n v="0.70858333333333323"/>
  </r>
  <r>
    <n v="1048"/>
    <x v="87"/>
    <x v="0"/>
    <x v="3"/>
    <n v="480"/>
    <n v="0"/>
    <n v="1844"/>
    <n v="1775"/>
    <n v="69"/>
    <n v="13.8"/>
    <n v="480"/>
    <n v="1"/>
    <n v="0.88358333333333339"/>
    <n v="0.96258134490238612"/>
    <n v="0.85052083333333339"/>
  </r>
  <r>
    <n v="1049"/>
    <x v="87"/>
    <x v="1"/>
    <x v="0"/>
    <n v="480"/>
    <n v="0"/>
    <n v="2036"/>
    <n v="1950"/>
    <n v="86"/>
    <n v="12"/>
    <n v="480"/>
    <n v="1"/>
    <n v="0.84833333333333338"/>
    <n v="0.95776031434184672"/>
    <n v="0.8125"/>
  </r>
  <r>
    <n v="1050"/>
    <x v="87"/>
    <x v="1"/>
    <x v="1"/>
    <n v="480"/>
    <n v="10"/>
    <n v="1798"/>
    <n v="1757"/>
    <n v="41"/>
    <n v="12.6"/>
    <n v="470"/>
    <n v="0.97916666666666663"/>
    <n v="0.80336170212765956"/>
    <n v="0.97719688542825367"/>
    <n v="0.76868749999999997"/>
  </r>
  <r>
    <n v="1051"/>
    <x v="87"/>
    <x v="1"/>
    <x v="2"/>
    <n v="480"/>
    <n v="0"/>
    <n v="1698"/>
    <n v="1598"/>
    <n v="100"/>
    <n v="13.2"/>
    <n v="480"/>
    <n v="1"/>
    <n v="0.77825"/>
    <n v="0.94110718492343937"/>
    <n v="0.73241666666666672"/>
  </r>
  <r>
    <n v="1052"/>
    <x v="87"/>
    <x v="1"/>
    <x v="3"/>
    <n v="480"/>
    <n v="57"/>
    <n v="1740"/>
    <n v="1701"/>
    <n v="39"/>
    <n v="13.8"/>
    <n v="423"/>
    <n v="0.88124999999999998"/>
    <n v="0.94609929078014188"/>
    <n v="0.97758620689655173"/>
    <n v="0.81506250000000002"/>
  </r>
  <r>
    <n v="1053"/>
    <x v="87"/>
    <x v="2"/>
    <x v="0"/>
    <n v="480"/>
    <n v="0"/>
    <n v="1923"/>
    <n v="1899"/>
    <n v="24"/>
    <n v="12"/>
    <n v="480"/>
    <n v="1"/>
    <n v="0.80125000000000002"/>
    <n v="0.98751950078003126"/>
    <n v="0.79125000000000001"/>
  </r>
  <r>
    <n v="1054"/>
    <x v="87"/>
    <x v="2"/>
    <x v="1"/>
    <n v="480"/>
    <n v="0"/>
    <n v="1941"/>
    <n v="1900"/>
    <n v="41"/>
    <n v="12.6"/>
    <n v="480"/>
    <n v="1"/>
    <n v="0.84918749999999998"/>
    <n v="0.9788768675940237"/>
    <n v="0.83124999999999993"/>
  </r>
  <r>
    <n v="1055"/>
    <x v="87"/>
    <x v="2"/>
    <x v="2"/>
    <n v="480"/>
    <n v="141"/>
    <n v="1356"/>
    <n v="1319"/>
    <n v="37"/>
    <n v="13.2"/>
    <n v="339"/>
    <n v="0.70625000000000004"/>
    <n v="0.88"/>
    <n v="0.97271386430678464"/>
    <n v="0.60454166666666675"/>
  </r>
  <r>
    <n v="1056"/>
    <x v="87"/>
    <x v="2"/>
    <x v="3"/>
    <n v="480"/>
    <n v="18"/>
    <n v="1902"/>
    <n v="1794"/>
    <n v="108"/>
    <n v="13.8"/>
    <n v="462"/>
    <n v="0.96250000000000002"/>
    <n v="0.94688311688311699"/>
    <n v="0.94321766561514198"/>
    <n v="0.85962500000000019"/>
  </r>
  <r>
    <n v="1057"/>
    <x v="88"/>
    <x v="0"/>
    <x v="0"/>
    <n v="480"/>
    <n v="10"/>
    <n v="1985"/>
    <n v="1945"/>
    <n v="40"/>
    <n v="12"/>
    <n v="470"/>
    <n v="0.97916666666666663"/>
    <n v="0.84468085106382984"/>
    <n v="0.97984886649874059"/>
    <n v="0.81041666666666679"/>
  </r>
  <r>
    <n v="1058"/>
    <x v="88"/>
    <x v="0"/>
    <x v="1"/>
    <n v="480"/>
    <n v="18"/>
    <n v="2000"/>
    <n v="1942"/>
    <n v="58"/>
    <n v="12.6"/>
    <n v="462"/>
    <n v="0.96250000000000002"/>
    <n v="0.90909090909090906"/>
    <n v="0.97099999999999997"/>
    <n v="0.84962499999999996"/>
  </r>
  <r>
    <n v="1059"/>
    <x v="88"/>
    <x v="0"/>
    <x v="2"/>
    <n v="480"/>
    <n v="42"/>
    <n v="1874"/>
    <n v="1809"/>
    <n v="65"/>
    <n v="13.2"/>
    <n v="438"/>
    <n v="0.91249999999999998"/>
    <n v="0.94127853881278534"/>
    <n v="0.9653148345784418"/>
    <n v="0.82912499999999989"/>
  </r>
  <r>
    <n v="1060"/>
    <x v="88"/>
    <x v="0"/>
    <x v="3"/>
    <n v="480"/>
    <n v="0"/>
    <n v="1571"/>
    <n v="1532"/>
    <n v="39"/>
    <n v="13.8"/>
    <n v="480"/>
    <n v="1"/>
    <n v="0.75277083333333339"/>
    <n v="0.97517504774029284"/>
    <n v="0.73408333333333342"/>
  </r>
  <r>
    <n v="1061"/>
    <x v="88"/>
    <x v="1"/>
    <x v="0"/>
    <n v="480"/>
    <n v="15"/>
    <n v="1816"/>
    <n v="1780"/>
    <n v="36"/>
    <n v="12"/>
    <n v="465"/>
    <n v="0.96875"/>
    <n v="0.78107526881720435"/>
    <n v="0.98017621145374445"/>
    <n v="0.7416666666666667"/>
  </r>
  <r>
    <n v="1062"/>
    <x v="88"/>
    <x v="1"/>
    <x v="1"/>
    <n v="480"/>
    <n v="0"/>
    <n v="1818"/>
    <n v="1799"/>
    <n v="19"/>
    <n v="12.6"/>
    <n v="480"/>
    <n v="1"/>
    <n v="0.79537499999999994"/>
    <n v="0.98954895489548955"/>
    <n v="0.7870625"/>
  </r>
  <r>
    <n v="1063"/>
    <x v="88"/>
    <x v="1"/>
    <x v="2"/>
    <n v="480"/>
    <n v="12"/>
    <n v="1764"/>
    <n v="1715"/>
    <n v="49"/>
    <n v="13.2"/>
    <n v="468"/>
    <n v="0.97499999999999998"/>
    <n v="0.82923076923076922"/>
    <n v="0.97222222222222221"/>
    <n v="0.78604166666666664"/>
  </r>
  <r>
    <n v="1064"/>
    <x v="88"/>
    <x v="1"/>
    <x v="3"/>
    <n v="480"/>
    <n v="0"/>
    <n v="1968"/>
    <n v="1946"/>
    <n v="22"/>
    <n v="13.8"/>
    <n v="480"/>
    <n v="1"/>
    <n v="0.94300000000000006"/>
    <n v="0.98882113821138207"/>
    <n v="0.93245833333333339"/>
  </r>
  <r>
    <n v="1065"/>
    <x v="88"/>
    <x v="2"/>
    <x v="0"/>
    <n v="480"/>
    <n v="45"/>
    <n v="2042"/>
    <n v="2001"/>
    <n v="41"/>
    <n v="12"/>
    <n v="435"/>
    <n v="0.90625"/>
    <n v="0.93885057471264366"/>
    <n v="0.97992164544564153"/>
    <n v="0.83374999999999999"/>
  </r>
  <r>
    <n v="1066"/>
    <x v="88"/>
    <x v="2"/>
    <x v="1"/>
    <n v="480"/>
    <n v="5"/>
    <n v="1958"/>
    <n v="1860"/>
    <n v="98"/>
    <n v="12.6"/>
    <n v="475"/>
    <n v="0.98958333333333337"/>
    <n v="0.86564210526315788"/>
    <n v="0.94994892747701731"/>
    <n v="0.81374999999999997"/>
  </r>
  <r>
    <n v="1067"/>
    <x v="88"/>
    <x v="2"/>
    <x v="2"/>
    <n v="480"/>
    <n v="18"/>
    <n v="1811"/>
    <n v="1770"/>
    <n v="41"/>
    <n v="13.2"/>
    <n v="462"/>
    <n v="0.96250000000000002"/>
    <n v="0.86238095238095225"/>
    <n v="0.97736057426835998"/>
    <n v="0.81124999999999992"/>
  </r>
  <r>
    <n v="1068"/>
    <x v="88"/>
    <x v="2"/>
    <x v="3"/>
    <n v="480"/>
    <n v="290"/>
    <n v="644"/>
    <n v="612"/>
    <n v="32"/>
    <n v="13.8"/>
    <n v="190"/>
    <n v="0.39583333333333331"/>
    <n v="0.77957894736842115"/>
    <n v="0.9503105590062112"/>
    <n v="0.29325000000000007"/>
  </r>
  <r>
    <n v="1069"/>
    <x v="89"/>
    <x v="0"/>
    <x v="0"/>
    <n v="480"/>
    <n v="13"/>
    <n v="2039"/>
    <n v="2014"/>
    <n v="25"/>
    <n v="12"/>
    <n v="467"/>
    <n v="0.97291666666666665"/>
    <n v="0.87323340471092081"/>
    <n v="0.98773908778813146"/>
    <n v="0.83916666666666673"/>
  </r>
  <r>
    <n v="1070"/>
    <x v="89"/>
    <x v="0"/>
    <x v="1"/>
    <n v="480"/>
    <n v="0"/>
    <n v="1842"/>
    <n v="1761"/>
    <n v="81"/>
    <n v="12.6"/>
    <n v="480"/>
    <n v="1"/>
    <n v="0.80587500000000001"/>
    <n v="0.9560260586319218"/>
    <n v="0.7704375"/>
  </r>
  <r>
    <n v="1071"/>
    <x v="89"/>
    <x v="0"/>
    <x v="2"/>
    <n v="480"/>
    <n v="0"/>
    <n v="1693"/>
    <n v="1642"/>
    <n v="51"/>
    <n v="13.2"/>
    <n v="480"/>
    <n v="1"/>
    <n v="0.77595833333333331"/>
    <n v="0.96987595983461317"/>
    <n v="0.75258333333333338"/>
  </r>
  <r>
    <n v="1072"/>
    <x v="89"/>
    <x v="0"/>
    <x v="3"/>
    <n v="480"/>
    <n v="212"/>
    <n v="1105"/>
    <n v="1052"/>
    <n v="53"/>
    <n v="13.8"/>
    <n v="268"/>
    <n v="0.55833333333333335"/>
    <n v="0.94832089552238807"/>
    <n v="0.95203619909502257"/>
    <n v="0.50408333333333333"/>
  </r>
  <r>
    <n v="1073"/>
    <x v="89"/>
    <x v="1"/>
    <x v="0"/>
    <n v="480"/>
    <n v="0"/>
    <n v="2253"/>
    <n v="2144"/>
    <n v="109"/>
    <n v="12"/>
    <n v="480"/>
    <n v="1"/>
    <n v="0.93874999999999997"/>
    <n v="0.95162006213936978"/>
    <n v="0.89333333333333331"/>
  </r>
  <r>
    <n v="1074"/>
    <x v="89"/>
    <x v="1"/>
    <x v="1"/>
    <n v="480"/>
    <n v="5"/>
    <n v="1961"/>
    <n v="1885"/>
    <n v="76"/>
    <n v="12.6"/>
    <n v="475"/>
    <n v="0.98958333333333337"/>
    <n v="0.8669684210526315"/>
    <n v="0.9612442631310556"/>
    <n v="0.82468749999999991"/>
  </r>
  <r>
    <n v="1075"/>
    <x v="89"/>
    <x v="1"/>
    <x v="2"/>
    <n v="480"/>
    <n v="20"/>
    <n v="2001"/>
    <n v="1965"/>
    <n v="36"/>
    <n v="13.2"/>
    <n v="460"/>
    <n v="0.95833333333333337"/>
    <n v="0.95699999999999985"/>
    <n v="0.98200899550224885"/>
    <n v="0.90062499999999979"/>
  </r>
  <r>
    <n v="1076"/>
    <x v="89"/>
    <x v="1"/>
    <x v="3"/>
    <n v="480"/>
    <n v="39"/>
    <n v="1849"/>
    <n v="1805"/>
    <n v="44"/>
    <n v="13.8"/>
    <n v="441"/>
    <n v="0.91874999999999996"/>
    <n v="0.96433106575963723"/>
    <n v="0.97620335316387241"/>
    <n v="0.86489583333333331"/>
  </r>
  <r>
    <n v="1077"/>
    <x v="89"/>
    <x v="2"/>
    <x v="0"/>
    <n v="480"/>
    <n v="5"/>
    <n v="2269"/>
    <n v="2187"/>
    <n v="82"/>
    <n v="12"/>
    <n v="475"/>
    <n v="0.98958333333333337"/>
    <n v="0.95536842105263153"/>
    <n v="0.96386073159982366"/>
    <n v="0.91125"/>
  </r>
  <r>
    <n v="1078"/>
    <x v="89"/>
    <x v="2"/>
    <x v="1"/>
    <n v="480"/>
    <n v="100"/>
    <n v="1552"/>
    <n v="1491"/>
    <n v="61"/>
    <n v="12.6"/>
    <n v="380"/>
    <n v="0.79166666666666663"/>
    <n v="0.85768421052631583"/>
    <n v="0.96069587628865982"/>
    <n v="0.65231250000000007"/>
  </r>
  <r>
    <n v="1079"/>
    <x v="89"/>
    <x v="2"/>
    <x v="2"/>
    <n v="480"/>
    <n v="0"/>
    <n v="1774"/>
    <n v="1754"/>
    <n v="20"/>
    <n v="13.2"/>
    <n v="480"/>
    <n v="1"/>
    <n v="0.81308333333333327"/>
    <n v="0.98872604284103716"/>
    <n v="0.80391666666666661"/>
  </r>
  <r>
    <n v="1080"/>
    <x v="89"/>
    <x v="2"/>
    <x v="3"/>
    <n v="480"/>
    <n v="157"/>
    <n v="1121"/>
    <n v="1072"/>
    <n v="49"/>
    <n v="13.8"/>
    <n v="323"/>
    <n v="0.67291666666666672"/>
    <n v="0.79823529411764715"/>
    <n v="0.95628902765388046"/>
    <n v="0.513666666666666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1">
  <r>
    <n v="1"/>
    <n v="1"/>
    <d v="2025-01-01T00:00:00"/>
    <s v="Mañana"/>
    <s v="M1"/>
    <x v="0"/>
    <n v="7"/>
  </r>
  <r>
    <n v="2"/>
    <n v="1"/>
    <d v="2025-01-01T00:00:00"/>
    <s v="Mañana"/>
    <s v="M1"/>
    <x v="0"/>
    <n v="90"/>
  </r>
  <r>
    <n v="3"/>
    <n v="1"/>
    <d v="2025-01-01T00:00:00"/>
    <s v="Mañana"/>
    <s v="M1"/>
    <x v="1"/>
    <n v="36"/>
  </r>
  <r>
    <n v="4"/>
    <n v="2"/>
    <d v="2025-01-01T00:00:00"/>
    <s v="Mañana"/>
    <s v="M2"/>
    <x v="0"/>
    <n v="9"/>
  </r>
  <r>
    <n v="5"/>
    <n v="3"/>
    <d v="2025-01-01T00:00:00"/>
    <s v="Mañana"/>
    <s v="M3"/>
    <x v="1"/>
    <n v="5"/>
  </r>
  <r>
    <n v="6"/>
    <n v="4"/>
    <d v="2025-01-01T00:00:00"/>
    <s v="Mañana"/>
    <s v="M4"/>
    <x v="2"/>
    <n v="17"/>
  </r>
  <r>
    <n v="7"/>
    <n v="4"/>
    <d v="2025-01-01T00:00:00"/>
    <s v="Mañana"/>
    <s v="M4"/>
    <x v="0"/>
    <n v="42"/>
  </r>
  <r>
    <n v="8"/>
    <n v="5"/>
    <d v="2025-01-01T00:00:00"/>
    <s v="Tarde"/>
    <s v="M1"/>
    <x v="1"/>
    <n v="17"/>
  </r>
  <r>
    <n v="9"/>
    <n v="5"/>
    <d v="2025-01-01T00:00:00"/>
    <s v="Tarde"/>
    <s v="M1"/>
    <x v="0"/>
    <n v="30"/>
  </r>
  <r>
    <n v="10"/>
    <n v="5"/>
    <d v="2025-01-01T00:00:00"/>
    <s v="Tarde"/>
    <s v="M1"/>
    <x v="0"/>
    <n v="108"/>
  </r>
  <r>
    <n v="11"/>
    <n v="5"/>
    <d v="2025-01-01T00:00:00"/>
    <s v="Tarde"/>
    <s v="M1"/>
    <x v="0"/>
    <n v="48"/>
  </r>
  <r>
    <n v="12"/>
    <n v="6"/>
    <d v="2025-01-01T00:00:00"/>
    <s v="Tarde"/>
    <s v="M2"/>
    <x v="3"/>
    <n v="89"/>
  </r>
  <r>
    <n v="13"/>
    <n v="7"/>
    <d v="2025-01-01T00:00:00"/>
    <s v="Tarde"/>
    <s v="M3"/>
    <x v="0"/>
    <n v="5"/>
  </r>
  <r>
    <n v="14"/>
    <n v="7"/>
    <d v="2025-01-01T00:00:00"/>
    <s v="Tarde"/>
    <s v="M3"/>
    <x v="0"/>
    <n v="22"/>
  </r>
  <r>
    <n v="15"/>
    <n v="8"/>
    <d v="2025-01-01T00:00:00"/>
    <s v="Tarde"/>
    <s v="M4"/>
    <x v="2"/>
    <n v="5"/>
  </r>
  <r>
    <n v="16"/>
    <n v="9"/>
    <d v="2025-01-01T00:00:00"/>
    <s v="Noche"/>
    <s v="M1"/>
    <x v="0"/>
    <n v="76"/>
  </r>
  <r>
    <n v="17"/>
    <n v="9"/>
    <d v="2025-01-01T00:00:00"/>
    <s v="Noche"/>
    <s v="M1"/>
    <x v="1"/>
    <n v="39"/>
  </r>
  <r>
    <n v="18"/>
    <n v="10"/>
    <d v="2025-01-01T00:00:00"/>
    <s v="Noche"/>
    <s v="M2"/>
    <x v="4"/>
    <n v="24"/>
  </r>
  <r>
    <n v="19"/>
    <n v="11"/>
    <d v="2025-01-01T00:00:00"/>
    <s v="Noche"/>
    <s v="M3"/>
    <x v="1"/>
    <n v="30"/>
  </r>
  <r>
    <n v="20"/>
    <n v="13"/>
    <d v="2025-01-02T00:00:00"/>
    <s v="Mañana"/>
    <s v="M1"/>
    <x v="2"/>
    <n v="11"/>
  </r>
  <r>
    <n v="21"/>
    <n v="13"/>
    <d v="2025-01-02T00:00:00"/>
    <s v="Mañana"/>
    <s v="M1"/>
    <x v="0"/>
    <n v="5"/>
  </r>
  <r>
    <n v="22"/>
    <n v="14"/>
    <d v="2025-01-02T00:00:00"/>
    <s v="Mañana"/>
    <s v="M2"/>
    <x v="4"/>
    <n v="7"/>
  </r>
  <r>
    <n v="23"/>
    <n v="15"/>
    <d v="2025-01-02T00:00:00"/>
    <s v="Mañana"/>
    <s v="M3"/>
    <x v="0"/>
    <n v="7"/>
  </r>
  <r>
    <n v="24"/>
    <n v="16"/>
    <d v="2025-01-02T00:00:00"/>
    <s v="Mañana"/>
    <s v="M4"/>
    <x v="4"/>
    <n v="19"/>
  </r>
  <r>
    <n v="25"/>
    <n v="16"/>
    <d v="2025-01-02T00:00:00"/>
    <s v="Mañana"/>
    <s v="M4"/>
    <x v="5"/>
    <n v="33"/>
  </r>
  <r>
    <n v="26"/>
    <n v="16"/>
    <d v="2025-01-02T00:00:00"/>
    <s v="Mañana"/>
    <s v="M4"/>
    <x v="0"/>
    <n v="5"/>
  </r>
  <r>
    <n v="27"/>
    <n v="17"/>
    <d v="2025-01-02T00:00:00"/>
    <s v="Tarde"/>
    <s v="M1"/>
    <x v="2"/>
    <n v="10"/>
  </r>
  <r>
    <n v="28"/>
    <n v="17"/>
    <d v="2025-01-02T00:00:00"/>
    <s v="Tarde"/>
    <s v="M1"/>
    <x v="0"/>
    <n v="5"/>
  </r>
  <r>
    <n v="29"/>
    <n v="18"/>
    <d v="2025-01-02T00:00:00"/>
    <s v="Tarde"/>
    <s v="M2"/>
    <x v="1"/>
    <n v="13"/>
  </r>
  <r>
    <n v="30"/>
    <n v="19"/>
    <d v="2025-01-02T00:00:00"/>
    <s v="Tarde"/>
    <s v="M3"/>
    <x v="0"/>
    <n v="15"/>
  </r>
  <r>
    <n v="31"/>
    <n v="20"/>
    <d v="2025-01-02T00:00:00"/>
    <s v="Tarde"/>
    <s v="M4"/>
    <x v="0"/>
    <n v="107"/>
  </r>
  <r>
    <n v="32"/>
    <n v="21"/>
    <d v="2025-01-02T00:00:00"/>
    <s v="Noche"/>
    <s v="M1"/>
    <x v="1"/>
    <n v="43"/>
  </r>
  <r>
    <n v="33"/>
    <n v="21"/>
    <d v="2025-01-02T00:00:00"/>
    <s v="Noche"/>
    <s v="M1"/>
    <x v="0"/>
    <n v="58"/>
  </r>
  <r>
    <n v="34"/>
    <n v="22"/>
    <d v="2025-01-02T00:00:00"/>
    <s v="Noche"/>
    <s v="M2"/>
    <x v="5"/>
    <n v="5"/>
  </r>
  <r>
    <n v="35"/>
    <n v="22"/>
    <d v="2025-01-02T00:00:00"/>
    <s v="Noche"/>
    <s v="M2"/>
    <x v="0"/>
    <n v="5"/>
  </r>
  <r>
    <n v="36"/>
    <n v="24"/>
    <d v="2025-01-02T00:00:00"/>
    <s v="Noche"/>
    <s v="M4"/>
    <x v="1"/>
    <n v="14"/>
  </r>
  <r>
    <n v="37"/>
    <n v="25"/>
    <d v="2025-01-03T00:00:00"/>
    <s v="Mañana"/>
    <s v="M1"/>
    <x v="4"/>
    <n v="52"/>
  </r>
  <r>
    <n v="38"/>
    <n v="26"/>
    <d v="2025-01-03T00:00:00"/>
    <s v="Mañana"/>
    <s v="M2"/>
    <x v="0"/>
    <n v="102"/>
  </r>
  <r>
    <n v="39"/>
    <n v="26"/>
    <d v="2025-01-03T00:00:00"/>
    <s v="Mañana"/>
    <s v="M2"/>
    <x v="4"/>
    <n v="25"/>
  </r>
  <r>
    <n v="40"/>
    <n v="26"/>
    <d v="2025-01-03T00:00:00"/>
    <s v="Mañana"/>
    <s v="M2"/>
    <x v="0"/>
    <n v="19"/>
  </r>
  <r>
    <n v="41"/>
    <n v="27"/>
    <d v="2025-01-03T00:00:00"/>
    <s v="Mañana"/>
    <s v="M3"/>
    <x v="0"/>
    <n v="102"/>
  </r>
  <r>
    <n v="42"/>
    <n v="27"/>
    <d v="2025-01-03T00:00:00"/>
    <s v="Mañana"/>
    <s v="M3"/>
    <x v="1"/>
    <n v="5"/>
  </r>
  <r>
    <n v="43"/>
    <n v="27"/>
    <d v="2025-01-03T00:00:00"/>
    <s v="Mañana"/>
    <s v="M3"/>
    <x v="0"/>
    <n v="49"/>
  </r>
  <r>
    <n v="44"/>
    <n v="28"/>
    <d v="2025-01-03T00:00:00"/>
    <s v="Mañana"/>
    <s v="M4"/>
    <x v="1"/>
    <n v="8"/>
  </r>
  <r>
    <n v="45"/>
    <n v="28"/>
    <d v="2025-01-03T00:00:00"/>
    <s v="Mañana"/>
    <s v="M4"/>
    <x v="0"/>
    <n v="61"/>
  </r>
  <r>
    <n v="46"/>
    <n v="28"/>
    <d v="2025-01-03T00:00:00"/>
    <s v="Mañana"/>
    <s v="M4"/>
    <x v="1"/>
    <n v="56"/>
  </r>
  <r>
    <n v="47"/>
    <n v="30"/>
    <d v="2025-01-03T00:00:00"/>
    <s v="Tarde"/>
    <s v="M2"/>
    <x v="4"/>
    <n v="24"/>
  </r>
  <r>
    <n v="48"/>
    <n v="30"/>
    <d v="2025-01-03T00:00:00"/>
    <s v="Tarde"/>
    <s v="M2"/>
    <x v="5"/>
    <n v="10"/>
  </r>
  <r>
    <n v="49"/>
    <n v="33"/>
    <d v="2025-01-03T00:00:00"/>
    <s v="Noche"/>
    <s v="M1"/>
    <x v="4"/>
    <n v="13"/>
  </r>
  <r>
    <n v="50"/>
    <n v="33"/>
    <d v="2025-01-03T00:00:00"/>
    <s v="Noche"/>
    <s v="M1"/>
    <x v="3"/>
    <n v="198"/>
  </r>
  <r>
    <n v="51"/>
    <n v="33"/>
    <d v="2025-01-03T00:00:00"/>
    <s v="Noche"/>
    <s v="M1"/>
    <x v="4"/>
    <n v="8"/>
  </r>
  <r>
    <n v="52"/>
    <n v="33"/>
    <d v="2025-01-03T00:00:00"/>
    <s v="Noche"/>
    <s v="M1"/>
    <x v="2"/>
    <n v="38"/>
  </r>
  <r>
    <n v="53"/>
    <n v="34"/>
    <d v="2025-01-03T00:00:00"/>
    <s v="Noche"/>
    <s v="M2"/>
    <x v="0"/>
    <n v="42"/>
  </r>
  <r>
    <n v="54"/>
    <n v="34"/>
    <d v="2025-01-03T00:00:00"/>
    <s v="Noche"/>
    <s v="M2"/>
    <x v="3"/>
    <n v="9"/>
  </r>
  <r>
    <n v="55"/>
    <n v="34"/>
    <d v="2025-01-03T00:00:00"/>
    <s v="Noche"/>
    <s v="M2"/>
    <x v="2"/>
    <n v="41"/>
  </r>
  <r>
    <n v="56"/>
    <n v="35"/>
    <d v="2025-01-03T00:00:00"/>
    <s v="Noche"/>
    <s v="M3"/>
    <x v="5"/>
    <n v="24"/>
  </r>
  <r>
    <n v="57"/>
    <n v="35"/>
    <d v="2025-01-03T00:00:00"/>
    <s v="Noche"/>
    <s v="M3"/>
    <x v="4"/>
    <n v="61"/>
  </r>
  <r>
    <n v="58"/>
    <n v="36"/>
    <d v="2025-01-03T00:00:00"/>
    <s v="Noche"/>
    <s v="M4"/>
    <x v="2"/>
    <n v="5"/>
  </r>
  <r>
    <n v="59"/>
    <n v="36"/>
    <d v="2025-01-03T00:00:00"/>
    <s v="Noche"/>
    <s v="M4"/>
    <x v="2"/>
    <n v="5"/>
  </r>
  <r>
    <n v="60"/>
    <n v="36"/>
    <d v="2025-01-03T00:00:00"/>
    <s v="Noche"/>
    <s v="M4"/>
    <x v="2"/>
    <n v="15"/>
  </r>
  <r>
    <n v="61"/>
    <n v="36"/>
    <d v="2025-01-03T00:00:00"/>
    <s v="Noche"/>
    <s v="M4"/>
    <x v="0"/>
    <n v="40"/>
  </r>
  <r>
    <n v="62"/>
    <n v="36"/>
    <d v="2025-01-03T00:00:00"/>
    <s v="Noche"/>
    <s v="M4"/>
    <x v="0"/>
    <n v="5"/>
  </r>
  <r>
    <n v="63"/>
    <n v="40"/>
    <d v="2025-01-04T00:00:00"/>
    <s v="Mañana"/>
    <s v="M4"/>
    <x v="5"/>
    <n v="5"/>
  </r>
  <r>
    <n v="64"/>
    <n v="40"/>
    <d v="2025-01-04T00:00:00"/>
    <s v="Mañana"/>
    <s v="M4"/>
    <x v="2"/>
    <n v="5"/>
  </r>
  <r>
    <n v="65"/>
    <n v="40"/>
    <d v="2025-01-04T00:00:00"/>
    <s v="Mañana"/>
    <s v="M4"/>
    <x v="0"/>
    <n v="147"/>
  </r>
  <r>
    <n v="66"/>
    <n v="40"/>
    <d v="2025-01-04T00:00:00"/>
    <s v="Mañana"/>
    <s v="M4"/>
    <x v="5"/>
    <n v="17"/>
  </r>
  <r>
    <n v="67"/>
    <n v="42"/>
    <d v="2025-01-04T00:00:00"/>
    <s v="Tarde"/>
    <s v="M2"/>
    <x v="3"/>
    <n v="80"/>
  </r>
  <r>
    <n v="68"/>
    <n v="42"/>
    <d v="2025-01-04T00:00:00"/>
    <s v="Tarde"/>
    <s v="M2"/>
    <x v="2"/>
    <n v="18"/>
  </r>
  <r>
    <n v="69"/>
    <n v="43"/>
    <d v="2025-01-04T00:00:00"/>
    <s v="Tarde"/>
    <s v="M3"/>
    <x v="0"/>
    <n v="5"/>
  </r>
  <r>
    <n v="70"/>
    <n v="43"/>
    <d v="2025-01-04T00:00:00"/>
    <s v="Tarde"/>
    <s v="M3"/>
    <x v="0"/>
    <n v="87"/>
  </r>
  <r>
    <n v="71"/>
    <n v="46"/>
    <d v="2025-01-04T00:00:00"/>
    <s v="Noche"/>
    <s v="M2"/>
    <x v="2"/>
    <n v="19"/>
  </r>
  <r>
    <n v="72"/>
    <n v="46"/>
    <d v="2025-01-04T00:00:00"/>
    <s v="Noche"/>
    <s v="M2"/>
    <x v="2"/>
    <n v="38"/>
  </r>
  <r>
    <n v="73"/>
    <n v="48"/>
    <d v="2025-01-04T00:00:00"/>
    <s v="Noche"/>
    <s v="M4"/>
    <x v="1"/>
    <n v="18"/>
  </r>
  <r>
    <n v="74"/>
    <n v="48"/>
    <d v="2025-01-04T00:00:00"/>
    <s v="Noche"/>
    <s v="M4"/>
    <x v="2"/>
    <n v="56"/>
  </r>
  <r>
    <n v="75"/>
    <n v="48"/>
    <d v="2025-01-04T00:00:00"/>
    <s v="Noche"/>
    <s v="M4"/>
    <x v="2"/>
    <n v="64"/>
  </r>
  <r>
    <n v="76"/>
    <n v="51"/>
    <d v="2025-01-05T00:00:00"/>
    <s v="Mañana"/>
    <s v="M3"/>
    <x v="5"/>
    <n v="5"/>
  </r>
  <r>
    <n v="77"/>
    <n v="51"/>
    <d v="2025-01-05T00:00:00"/>
    <s v="Mañana"/>
    <s v="M3"/>
    <x v="0"/>
    <n v="53"/>
  </r>
  <r>
    <n v="78"/>
    <n v="52"/>
    <d v="2025-01-05T00:00:00"/>
    <s v="Mañana"/>
    <s v="M4"/>
    <x v="0"/>
    <n v="62"/>
  </r>
  <r>
    <n v="79"/>
    <n v="52"/>
    <d v="2025-01-05T00:00:00"/>
    <s v="Mañana"/>
    <s v="M4"/>
    <x v="5"/>
    <n v="69"/>
  </r>
  <r>
    <n v="80"/>
    <n v="53"/>
    <d v="2025-01-05T00:00:00"/>
    <s v="Tarde"/>
    <s v="M1"/>
    <x v="2"/>
    <n v="27"/>
  </r>
  <r>
    <n v="81"/>
    <n v="53"/>
    <d v="2025-01-05T00:00:00"/>
    <s v="Tarde"/>
    <s v="M1"/>
    <x v="5"/>
    <n v="5"/>
  </r>
  <r>
    <n v="82"/>
    <n v="53"/>
    <d v="2025-01-05T00:00:00"/>
    <s v="Tarde"/>
    <s v="M1"/>
    <x v="4"/>
    <n v="17"/>
  </r>
  <r>
    <n v="83"/>
    <n v="54"/>
    <d v="2025-01-05T00:00:00"/>
    <s v="Tarde"/>
    <s v="M2"/>
    <x v="4"/>
    <n v="5"/>
  </r>
  <r>
    <n v="84"/>
    <n v="54"/>
    <d v="2025-01-05T00:00:00"/>
    <s v="Tarde"/>
    <s v="M2"/>
    <x v="0"/>
    <n v="134"/>
  </r>
  <r>
    <n v="85"/>
    <n v="55"/>
    <d v="2025-01-05T00:00:00"/>
    <s v="Tarde"/>
    <s v="M3"/>
    <x v="0"/>
    <n v="50"/>
  </r>
  <r>
    <n v="86"/>
    <n v="55"/>
    <d v="2025-01-05T00:00:00"/>
    <s v="Tarde"/>
    <s v="M3"/>
    <x v="5"/>
    <n v="23"/>
  </r>
  <r>
    <n v="87"/>
    <n v="56"/>
    <d v="2025-01-05T00:00:00"/>
    <s v="Tarde"/>
    <s v="M4"/>
    <x v="2"/>
    <n v="11"/>
  </r>
  <r>
    <n v="88"/>
    <n v="58"/>
    <d v="2025-01-05T00:00:00"/>
    <s v="Noche"/>
    <s v="M2"/>
    <x v="0"/>
    <n v="54"/>
  </r>
  <r>
    <n v="89"/>
    <n v="59"/>
    <d v="2025-01-05T00:00:00"/>
    <s v="Noche"/>
    <s v="M3"/>
    <x v="0"/>
    <n v="194"/>
  </r>
  <r>
    <n v="90"/>
    <n v="60"/>
    <d v="2025-01-05T00:00:00"/>
    <s v="Noche"/>
    <s v="M4"/>
    <x v="0"/>
    <n v="67"/>
  </r>
  <r>
    <n v="91"/>
    <n v="60"/>
    <d v="2025-01-05T00:00:00"/>
    <s v="Noche"/>
    <s v="M4"/>
    <x v="2"/>
    <n v="11"/>
  </r>
  <r>
    <n v="92"/>
    <n v="60"/>
    <d v="2025-01-05T00:00:00"/>
    <s v="Noche"/>
    <s v="M4"/>
    <x v="4"/>
    <n v="5"/>
  </r>
  <r>
    <n v="93"/>
    <n v="60"/>
    <d v="2025-01-05T00:00:00"/>
    <s v="Noche"/>
    <s v="M4"/>
    <x v="2"/>
    <n v="5"/>
  </r>
  <r>
    <n v="94"/>
    <n v="62"/>
    <d v="2025-01-06T00:00:00"/>
    <s v="Mañana"/>
    <s v="M2"/>
    <x v="0"/>
    <n v="91"/>
  </r>
  <r>
    <n v="95"/>
    <n v="62"/>
    <d v="2025-01-06T00:00:00"/>
    <s v="Mañana"/>
    <s v="M2"/>
    <x v="0"/>
    <n v="148"/>
  </r>
  <r>
    <n v="96"/>
    <n v="62"/>
    <d v="2025-01-06T00:00:00"/>
    <s v="Mañana"/>
    <s v="M2"/>
    <x v="0"/>
    <n v="157"/>
  </r>
  <r>
    <n v="97"/>
    <n v="63"/>
    <d v="2025-01-06T00:00:00"/>
    <s v="Mañana"/>
    <s v="M3"/>
    <x v="2"/>
    <n v="69"/>
  </r>
  <r>
    <n v="98"/>
    <n v="63"/>
    <d v="2025-01-06T00:00:00"/>
    <s v="Mañana"/>
    <s v="M3"/>
    <x v="2"/>
    <n v="19"/>
  </r>
  <r>
    <n v="99"/>
    <n v="64"/>
    <d v="2025-01-06T00:00:00"/>
    <s v="Mañana"/>
    <s v="M4"/>
    <x v="0"/>
    <n v="135"/>
  </r>
  <r>
    <n v="100"/>
    <n v="64"/>
    <d v="2025-01-06T00:00:00"/>
    <s v="Mañana"/>
    <s v="M4"/>
    <x v="4"/>
    <n v="15"/>
  </r>
  <r>
    <n v="101"/>
    <n v="64"/>
    <d v="2025-01-06T00:00:00"/>
    <s v="Mañana"/>
    <s v="M4"/>
    <x v="1"/>
    <n v="9"/>
  </r>
  <r>
    <n v="102"/>
    <n v="65"/>
    <d v="2025-01-06T00:00:00"/>
    <s v="Tarde"/>
    <s v="M1"/>
    <x v="0"/>
    <n v="164"/>
  </r>
  <r>
    <n v="103"/>
    <n v="66"/>
    <d v="2025-01-06T00:00:00"/>
    <s v="Tarde"/>
    <s v="M2"/>
    <x v="5"/>
    <n v="17"/>
  </r>
  <r>
    <n v="104"/>
    <n v="67"/>
    <d v="2025-01-06T00:00:00"/>
    <s v="Tarde"/>
    <s v="M3"/>
    <x v="3"/>
    <n v="120"/>
  </r>
  <r>
    <n v="105"/>
    <n v="67"/>
    <d v="2025-01-06T00:00:00"/>
    <s v="Tarde"/>
    <s v="M3"/>
    <x v="0"/>
    <n v="5"/>
  </r>
  <r>
    <n v="106"/>
    <n v="67"/>
    <d v="2025-01-06T00:00:00"/>
    <s v="Tarde"/>
    <s v="M3"/>
    <x v="2"/>
    <n v="33"/>
  </r>
  <r>
    <n v="107"/>
    <n v="67"/>
    <d v="2025-01-06T00:00:00"/>
    <s v="Tarde"/>
    <s v="M3"/>
    <x v="3"/>
    <n v="9"/>
  </r>
  <r>
    <n v="108"/>
    <n v="68"/>
    <d v="2025-01-06T00:00:00"/>
    <s v="Tarde"/>
    <s v="M4"/>
    <x v="0"/>
    <n v="5"/>
  </r>
  <r>
    <n v="109"/>
    <n v="68"/>
    <d v="2025-01-06T00:00:00"/>
    <s v="Tarde"/>
    <s v="M4"/>
    <x v="4"/>
    <n v="41"/>
  </r>
  <r>
    <n v="110"/>
    <n v="68"/>
    <d v="2025-01-06T00:00:00"/>
    <s v="Tarde"/>
    <s v="M4"/>
    <x v="3"/>
    <n v="341"/>
  </r>
  <r>
    <n v="111"/>
    <n v="68"/>
    <d v="2025-01-06T00:00:00"/>
    <s v="Tarde"/>
    <s v="M4"/>
    <x v="2"/>
    <n v="29"/>
  </r>
  <r>
    <n v="112"/>
    <n v="69"/>
    <d v="2025-01-06T00:00:00"/>
    <s v="Noche"/>
    <s v="M1"/>
    <x v="0"/>
    <n v="138"/>
  </r>
  <r>
    <n v="113"/>
    <n v="70"/>
    <d v="2025-01-06T00:00:00"/>
    <s v="Noche"/>
    <s v="M2"/>
    <x v="0"/>
    <n v="50"/>
  </r>
  <r>
    <n v="114"/>
    <n v="70"/>
    <d v="2025-01-06T00:00:00"/>
    <s v="Noche"/>
    <s v="M2"/>
    <x v="2"/>
    <n v="29"/>
  </r>
  <r>
    <n v="115"/>
    <n v="71"/>
    <d v="2025-01-06T00:00:00"/>
    <s v="Noche"/>
    <s v="M3"/>
    <x v="0"/>
    <n v="5"/>
  </r>
  <r>
    <n v="116"/>
    <n v="71"/>
    <d v="2025-01-06T00:00:00"/>
    <s v="Noche"/>
    <s v="M3"/>
    <x v="5"/>
    <n v="14"/>
  </r>
  <r>
    <n v="117"/>
    <n v="71"/>
    <d v="2025-01-06T00:00:00"/>
    <s v="Noche"/>
    <s v="M3"/>
    <x v="1"/>
    <n v="7"/>
  </r>
  <r>
    <n v="118"/>
    <n v="72"/>
    <d v="2025-01-06T00:00:00"/>
    <s v="Noche"/>
    <s v="M4"/>
    <x v="2"/>
    <n v="11"/>
  </r>
  <r>
    <n v="119"/>
    <n v="73"/>
    <d v="2025-01-07T00:00:00"/>
    <s v="Mañana"/>
    <s v="M1"/>
    <x v="1"/>
    <n v="59"/>
  </r>
  <r>
    <n v="120"/>
    <n v="73"/>
    <d v="2025-01-07T00:00:00"/>
    <s v="Mañana"/>
    <s v="M1"/>
    <x v="3"/>
    <n v="9"/>
  </r>
  <r>
    <n v="121"/>
    <n v="74"/>
    <d v="2025-01-07T00:00:00"/>
    <s v="Mañana"/>
    <s v="M2"/>
    <x v="3"/>
    <n v="40"/>
  </r>
  <r>
    <n v="122"/>
    <n v="75"/>
    <d v="2025-01-07T00:00:00"/>
    <s v="Mañana"/>
    <s v="M3"/>
    <x v="0"/>
    <n v="6"/>
  </r>
  <r>
    <n v="123"/>
    <n v="76"/>
    <d v="2025-01-07T00:00:00"/>
    <s v="Mañana"/>
    <s v="M4"/>
    <x v="0"/>
    <n v="102"/>
  </r>
  <r>
    <n v="124"/>
    <n v="81"/>
    <d v="2025-01-07T00:00:00"/>
    <s v="Noche"/>
    <s v="M1"/>
    <x v="5"/>
    <n v="14"/>
  </r>
  <r>
    <n v="125"/>
    <n v="82"/>
    <d v="2025-01-07T00:00:00"/>
    <s v="Noche"/>
    <s v="M2"/>
    <x v="0"/>
    <n v="73"/>
  </r>
  <r>
    <n v="126"/>
    <n v="84"/>
    <d v="2025-01-07T00:00:00"/>
    <s v="Noche"/>
    <s v="M4"/>
    <x v="1"/>
    <n v="5"/>
  </r>
  <r>
    <n v="127"/>
    <n v="84"/>
    <d v="2025-01-07T00:00:00"/>
    <s v="Noche"/>
    <s v="M4"/>
    <x v="0"/>
    <n v="56"/>
  </r>
  <r>
    <n v="128"/>
    <n v="85"/>
    <d v="2025-01-08T00:00:00"/>
    <s v="Mañana"/>
    <s v="M1"/>
    <x v="2"/>
    <n v="15"/>
  </r>
  <r>
    <n v="129"/>
    <n v="86"/>
    <d v="2025-01-08T00:00:00"/>
    <s v="Mañana"/>
    <s v="M2"/>
    <x v="0"/>
    <n v="10"/>
  </r>
  <r>
    <n v="130"/>
    <n v="87"/>
    <d v="2025-01-08T00:00:00"/>
    <s v="Mañana"/>
    <s v="M3"/>
    <x v="0"/>
    <n v="34"/>
  </r>
  <r>
    <n v="131"/>
    <n v="87"/>
    <d v="2025-01-08T00:00:00"/>
    <s v="Mañana"/>
    <s v="M3"/>
    <x v="2"/>
    <n v="27"/>
  </r>
  <r>
    <n v="132"/>
    <n v="87"/>
    <d v="2025-01-08T00:00:00"/>
    <s v="Mañana"/>
    <s v="M3"/>
    <x v="2"/>
    <n v="5"/>
  </r>
  <r>
    <n v="133"/>
    <n v="87"/>
    <d v="2025-01-08T00:00:00"/>
    <s v="Mañana"/>
    <s v="M3"/>
    <x v="0"/>
    <n v="20"/>
  </r>
  <r>
    <n v="134"/>
    <n v="88"/>
    <d v="2025-01-08T00:00:00"/>
    <s v="Mañana"/>
    <s v="M4"/>
    <x v="0"/>
    <n v="5"/>
  </r>
  <r>
    <n v="135"/>
    <n v="88"/>
    <d v="2025-01-08T00:00:00"/>
    <s v="Mañana"/>
    <s v="M4"/>
    <x v="0"/>
    <n v="12"/>
  </r>
  <r>
    <n v="136"/>
    <n v="89"/>
    <d v="2025-01-08T00:00:00"/>
    <s v="Tarde"/>
    <s v="M1"/>
    <x v="4"/>
    <n v="5"/>
  </r>
  <r>
    <n v="137"/>
    <n v="90"/>
    <d v="2025-01-08T00:00:00"/>
    <s v="Tarde"/>
    <s v="M2"/>
    <x v="2"/>
    <n v="69"/>
  </r>
  <r>
    <n v="138"/>
    <n v="91"/>
    <d v="2025-01-08T00:00:00"/>
    <s v="Tarde"/>
    <s v="M3"/>
    <x v="1"/>
    <n v="79"/>
  </r>
  <r>
    <n v="139"/>
    <n v="92"/>
    <d v="2025-01-08T00:00:00"/>
    <s v="Tarde"/>
    <s v="M4"/>
    <x v="0"/>
    <n v="17"/>
  </r>
  <r>
    <n v="140"/>
    <n v="93"/>
    <d v="2025-01-08T00:00:00"/>
    <s v="Noche"/>
    <s v="M1"/>
    <x v="1"/>
    <n v="10"/>
  </r>
  <r>
    <n v="141"/>
    <n v="94"/>
    <d v="2025-01-08T00:00:00"/>
    <s v="Noche"/>
    <s v="M2"/>
    <x v="0"/>
    <n v="6"/>
  </r>
  <r>
    <n v="142"/>
    <n v="94"/>
    <d v="2025-01-08T00:00:00"/>
    <s v="Noche"/>
    <s v="M2"/>
    <x v="0"/>
    <n v="207"/>
  </r>
  <r>
    <n v="143"/>
    <n v="95"/>
    <d v="2025-01-08T00:00:00"/>
    <s v="Noche"/>
    <s v="M3"/>
    <x v="5"/>
    <n v="13"/>
  </r>
  <r>
    <n v="144"/>
    <n v="96"/>
    <d v="2025-01-08T00:00:00"/>
    <s v="Noche"/>
    <s v="M4"/>
    <x v="1"/>
    <n v="83"/>
  </r>
  <r>
    <n v="145"/>
    <n v="96"/>
    <d v="2025-01-08T00:00:00"/>
    <s v="Noche"/>
    <s v="M4"/>
    <x v="0"/>
    <n v="5"/>
  </r>
  <r>
    <n v="146"/>
    <n v="96"/>
    <d v="2025-01-08T00:00:00"/>
    <s v="Noche"/>
    <s v="M4"/>
    <x v="1"/>
    <n v="25"/>
  </r>
  <r>
    <n v="147"/>
    <n v="96"/>
    <d v="2025-01-08T00:00:00"/>
    <s v="Noche"/>
    <s v="M4"/>
    <x v="5"/>
    <n v="5"/>
  </r>
  <r>
    <n v="148"/>
    <n v="98"/>
    <d v="2025-01-09T00:00:00"/>
    <s v="Mañana"/>
    <s v="M2"/>
    <x v="4"/>
    <n v="12"/>
  </r>
  <r>
    <n v="149"/>
    <n v="98"/>
    <d v="2025-01-09T00:00:00"/>
    <s v="Mañana"/>
    <s v="M2"/>
    <x v="5"/>
    <n v="8"/>
  </r>
  <r>
    <n v="150"/>
    <n v="99"/>
    <d v="2025-01-09T00:00:00"/>
    <s v="Mañana"/>
    <s v="M3"/>
    <x v="0"/>
    <n v="103"/>
  </r>
  <r>
    <n v="151"/>
    <n v="99"/>
    <d v="2025-01-09T00:00:00"/>
    <s v="Mañana"/>
    <s v="M3"/>
    <x v="2"/>
    <n v="15"/>
  </r>
  <r>
    <n v="152"/>
    <n v="101"/>
    <d v="2025-01-09T00:00:00"/>
    <s v="Tarde"/>
    <s v="M1"/>
    <x v="5"/>
    <n v="14"/>
  </r>
  <r>
    <n v="153"/>
    <n v="102"/>
    <d v="2025-01-09T00:00:00"/>
    <s v="Tarde"/>
    <s v="M2"/>
    <x v="0"/>
    <n v="12"/>
  </r>
  <r>
    <n v="154"/>
    <n v="103"/>
    <d v="2025-01-09T00:00:00"/>
    <s v="Tarde"/>
    <s v="M3"/>
    <x v="5"/>
    <n v="5"/>
  </r>
  <r>
    <n v="155"/>
    <n v="103"/>
    <d v="2025-01-09T00:00:00"/>
    <s v="Tarde"/>
    <s v="M3"/>
    <x v="5"/>
    <n v="5"/>
  </r>
  <r>
    <n v="156"/>
    <n v="103"/>
    <d v="2025-01-09T00:00:00"/>
    <s v="Tarde"/>
    <s v="M3"/>
    <x v="2"/>
    <n v="31"/>
  </r>
  <r>
    <n v="157"/>
    <n v="104"/>
    <d v="2025-01-09T00:00:00"/>
    <s v="Tarde"/>
    <s v="M4"/>
    <x v="0"/>
    <n v="19"/>
  </r>
  <r>
    <n v="158"/>
    <n v="104"/>
    <d v="2025-01-09T00:00:00"/>
    <s v="Tarde"/>
    <s v="M4"/>
    <x v="0"/>
    <n v="107"/>
  </r>
  <r>
    <n v="159"/>
    <n v="104"/>
    <d v="2025-01-09T00:00:00"/>
    <s v="Tarde"/>
    <s v="M4"/>
    <x v="2"/>
    <n v="10"/>
  </r>
  <r>
    <n v="160"/>
    <n v="104"/>
    <d v="2025-01-09T00:00:00"/>
    <s v="Tarde"/>
    <s v="M4"/>
    <x v="2"/>
    <n v="58"/>
  </r>
  <r>
    <n v="161"/>
    <n v="105"/>
    <d v="2025-01-09T00:00:00"/>
    <s v="Noche"/>
    <s v="M1"/>
    <x v="4"/>
    <n v="67"/>
  </r>
  <r>
    <n v="162"/>
    <n v="105"/>
    <d v="2025-01-09T00:00:00"/>
    <s v="Noche"/>
    <s v="M1"/>
    <x v="2"/>
    <n v="23"/>
  </r>
  <r>
    <n v="163"/>
    <n v="107"/>
    <d v="2025-01-09T00:00:00"/>
    <s v="Noche"/>
    <s v="M3"/>
    <x v="0"/>
    <n v="188"/>
  </r>
  <r>
    <n v="164"/>
    <n v="107"/>
    <d v="2025-01-09T00:00:00"/>
    <s v="Noche"/>
    <s v="M3"/>
    <x v="5"/>
    <n v="5"/>
  </r>
  <r>
    <n v="165"/>
    <n v="107"/>
    <d v="2025-01-09T00:00:00"/>
    <s v="Noche"/>
    <s v="M3"/>
    <x v="4"/>
    <n v="50"/>
  </r>
  <r>
    <n v="166"/>
    <n v="107"/>
    <d v="2025-01-09T00:00:00"/>
    <s v="Noche"/>
    <s v="M3"/>
    <x v="2"/>
    <n v="17"/>
  </r>
  <r>
    <n v="167"/>
    <n v="108"/>
    <d v="2025-01-09T00:00:00"/>
    <s v="Noche"/>
    <s v="M4"/>
    <x v="0"/>
    <n v="22"/>
  </r>
  <r>
    <n v="168"/>
    <n v="108"/>
    <d v="2025-01-09T00:00:00"/>
    <s v="Noche"/>
    <s v="M4"/>
    <x v="2"/>
    <n v="50"/>
  </r>
  <r>
    <n v="169"/>
    <n v="109"/>
    <d v="2025-01-10T00:00:00"/>
    <s v="Mañana"/>
    <s v="M1"/>
    <x v="2"/>
    <n v="5"/>
  </r>
  <r>
    <n v="170"/>
    <n v="109"/>
    <d v="2025-01-10T00:00:00"/>
    <s v="Mañana"/>
    <s v="M1"/>
    <x v="0"/>
    <n v="31"/>
  </r>
  <r>
    <n v="171"/>
    <n v="110"/>
    <d v="2025-01-10T00:00:00"/>
    <s v="Mañana"/>
    <s v="M2"/>
    <x v="1"/>
    <n v="5"/>
  </r>
  <r>
    <n v="172"/>
    <n v="111"/>
    <d v="2025-01-10T00:00:00"/>
    <s v="Mañana"/>
    <s v="M3"/>
    <x v="2"/>
    <n v="5"/>
  </r>
  <r>
    <n v="173"/>
    <n v="112"/>
    <d v="2025-01-10T00:00:00"/>
    <s v="Mañana"/>
    <s v="M4"/>
    <x v="1"/>
    <n v="7"/>
  </r>
  <r>
    <n v="174"/>
    <n v="114"/>
    <d v="2025-01-10T00:00:00"/>
    <s v="Tarde"/>
    <s v="M2"/>
    <x v="5"/>
    <n v="9"/>
  </r>
  <r>
    <n v="175"/>
    <n v="115"/>
    <d v="2025-01-10T00:00:00"/>
    <s v="Tarde"/>
    <s v="M3"/>
    <x v="0"/>
    <n v="89"/>
  </r>
  <r>
    <n v="176"/>
    <n v="115"/>
    <d v="2025-01-10T00:00:00"/>
    <s v="Tarde"/>
    <s v="M3"/>
    <x v="3"/>
    <n v="28"/>
  </r>
  <r>
    <n v="177"/>
    <n v="116"/>
    <d v="2025-01-10T00:00:00"/>
    <s v="Tarde"/>
    <s v="M4"/>
    <x v="0"/>
    <n v="56"/>
  </r>
  <r>
    <n v="178"/>
    <n v="121"/>
    <d v="2025-01-11T00:00:00"/>
    <s v="Mañana"/>
    <s v="M1"/>
    <x v="0"/>
    <n v="15"/>
  </r>
  <r>
    <n v="179"/>
    <n v="121"/>
    <d v="2025-01-11T00:00:00"/>
    <s v="Mañana"/>
    <s v="M1"/>
    <x v="4"/>
    <n v="5"/>
  </r>
  <r>
    <n v="180"/>
    <n v="121"/>
    <d v="2025-01-11T00:00:00"/>
    <s v="Mañana"/>
    <s v="M1"/>
    <x v="0"/>
    <n v="10"/>
  </r>
  <r>
    <n v="181"/>
    <n v="122"/>
    <d v="2025-01-11T00:00:00"/>
    <s v="Mañana"/>
    <s v="M2"/>
    <x v="5"/>
    <n v="6"/>
  </r>
  <r>
    <n v="182"/>
    <n v="122"/>
    <d v="2025-01-11T00:00:00"/>
    <s v="Mañana"/>
    <s v="M2"/>
    <x v="0"/>
    <n v="21"/>
  </r>
  <r>
    <n v="183"/>
    <n v="123"/>
    <d v="2025-01-11T00:00:00"/>
    <s v="Mañana"/>
    <s v="M3"/>
    <x v="2"/>
    <n v="6"/>
  </r>
  <r>
    <n v="184"/>
    <n v="123"/>
    <d v="2025-01-11T00:00:00"/>
    <s v="Mañana"/>
    <s v="M3"/>
    <x v="3"/>
    <n v="86"/>
  </r>
  <r>
    <n v="185"/>
    <n v="124"/>
    <d v="2025-01-11T00:00:00"/>
    <s v="Mañana"/>
    <s v="M4"/>
    <x v="0"/>
    <n v="14"/>
  </r>
  <r>
    <n v="186"/>
    <n v="124"/>
    <d v="2025-01-11T00:00:00"/>
    <s v="Mañana"/>
    <s v="M4"/>
    <x v="2"/>
    <n v="20"/>
  </r>
  <r>
    <n v="187"/>
    <n v="124"/>
    <d v="2025-01-11T00:00:00"/>
    <s v="Mañana"/>
    <s v="M4"/>
    <x v="0"/>
    <n v="6"/>
  </r>
  <r>
    <n v="188"/>
    <n v="125"/>
    <d v="2025-01-11T00:00:00"/>
    <s v="Tarde"/>
    <s v="M1"/>
    <x v="0"/>
    <n v="5"/>
  </r>
  <r>
    <n v="189"/>
    <n v="126"/>
    <d v="2025-01-11T00:00:00"/>
    <s v="Tarde"/>
    <s v="M2"/>
    <x v="2"/>
    <n v="21"/>
  </r>
  <r>
    <n v="190"/>
    <n v="128"/>
    <d v="2025-01-11T00:00:00"/>
    <s v="Tarde"/>
    <s v="M4"/>
    <x v="0"/>
    <n v="110"/>
  </r>
  <r>
    <n v="191"/>
    <n v="128"/>
    <d v="2025-01-11T00:00:00"/>
    <s v="Tarde"/>
    <s v="M4"/>
    <x v="2"/>
    <n v="9"/>
  </r>
  <r>
    <n v="192"/>
    <n v="128"/>
    <d v="2025-01-11T00:00:00"/>
    <s v="Tarde"/>
    <s v="M4"/>
    <x v="2"/>
    <n v="5"/>
  </r>
  <r>
    <n v="193"/>
    <n v="130"/>
    <d v="2025-01-11T00:00:00"/>
    <s v="Noche"/>
    <s v="M2"/>
    <x v="2"/>
    <n v="25"/>
  </r>
  <r>
    <n v="194"/>
    <n v="131"/>
    <d v="2025-01-11T00:00:00"/>
    <s v="Noche"/>
    <s v="M3"/>
    <x v="0"/>
    <n v="5"/>
  </r>
  <r>
    <n v="195"/>
    <n v="131"/>
    <d v="2025-01-11T00:00:00"/>
    <s v="Noche"/>
    <s v="M3"/>
    <x v="0"/>
    <n v="40"/>
  </r>
  <r>
    <n v="196"/>
    <n v="131"/>
    <d v="2025-01-11T00:00:00"/>
    <s v="Noche"/>
    <s v="M3"/>
    <x v="0"/>
    <n v="30"/>
  </r>
  <r>
    <n v="197"/>
    <n v="132"/>
    <d v="2025-01-11T00:00:00"/>
    <s v="Noche"/>
    <s v="M4"/>
    <x v="0"/>
    <n v="58"/>
  </r>
  <r>
    <n v="198"/>
    <n v="133"/>
    <d v="2025-01-12T00:00:00"/>
    <s v="Mañana"/>
    <s v="M1"/>
    <x v="5"/>
    <n v="24"/>
  </r>
  <r>
    <n v="199"/>
    <n v="134"/>
    <d v="2025-01-12T00:00:00"/>
    <s v="Mañana"/>
    <s v="M2"/>
    <x v="0"/>
    <n v="112"/>
  </r>
  <r>
    <n v="200"/>
    <n v="135"/>
    <d v="2025-01-12T00:00:00"/>
    <s v="Mañana"/>
    <s v="M3"/>
    <x v="2"/>
    <n v="41"/>
  </r>
  <r>
    <n v="201"/>
    <n v="136"/>
    <d v="2025-01-12T00:00:00"/>
    <s v="Mañana"/>
    <s v="M4"/>
    <x v="2"/>
    <n v="5"/>
  </r>
  <r>
    <n v="202"/>
    <n v="136"/>
    <d v="2025-01-12T00:00:00"/>
    <s v="Mañana"/>
    <s v="M4"/>
    <x v="3"/>
    <n v="173"/>
  </r>
  <r>
    <n v="203"/>
    <n v="136"/>
    <d v="2025-01-12T00:00:00"/>
    <s v="Mañana"/>
    <s v="M4"/>
    <x v="0"/>
    <n v="55"/>
  </r>
  <r>
    <n v="204"/>
    <n v="137"/>
    <d v="2025-01-12T00:00:00"/>
    <s v="Tarde"/>
    <s v="M1"/>
    <x v="1"/>
    <n v="10"/>
  </r>
  <r>
    <n v="205"/>
    <n v="137"/>
    <d v="2025-01-12T00:00:00"/>
    <s v="Tarde"/>
    <s v="M1"/>
    <x v="4"/>
    <n v="88"/>
  </r>
  <r>
    <n v="206"/>
    <n v="138"/>
    <d v="2025-01-12T00:00:00"/>
    <s v="Tarde"/>
    <s v="M2"/>
    <x v="0"/>
    <n v="40"/>
  </r>
  <r>
    <n v="207"/>
    <n v="138"/>
    <d v="2025-01-12T00:00:00"/>
    <s v="Tarde"/>
    <s v="M2"/>
    <x v="0"/>
    <n v="5"/>
  </r>
  <r>
    <n v="208"/>
    <n v="138"/>
    <d v="2025-01-12T00:00:00"/>
    <s v="Tarde"/>
    <s v="M2"/>
    <x v="0"/>
    <n v="53"/>
  </r>
  <r>
    <n v="209"/>
    <n v="140"/>
    <d v="2025-01-12T00:00:00"/>
    <s v="Tarde"/>
    <s v="M4"/>
    <x v="4"/>
    <n v="23"/>
  </r>
  <r>
    <n v="210"/>
    <n v="140"/>
    <d v="2025-01-12T00:00:00"/>
    <s v="Tarde"/>
    <s v="M4"/>
    <x v="0"/>
    <n v="5"/>
  </r>
  <r>
    <n v="211"/>
    <n v="141"/>
    <d v="2025-01-12T00:00:00"/>
    <s v="Noche"/>
    <s v="M1"/>
    <x v="5"/>
    <n v="7"/>
  </r>
  <r>
    <n v="212"/>
    <n v="141"/>
    <d v="2025-01-12T00:00:00"/>
    <s v="Noche"/>
    <s v="M1"/>
    <x v="2"/>
    <n v="19"/>
  </r>
  <r>
    <n v="213"/>
    <n v="141"/>
    <d v="2025-01-12T00:00:00"/>
    <s v="Noche"/>
    <s v="M1"/>
    <x v="4"/>
    <n v="103"/>
  </r>
  <r>
    <n v="214"/>
    <n v="141"/>
    <d v="2025-01-12T00:00:00"/>
    <s v="Noche"/>
    <s v="M1"/>
    <x v="5"/>
    <n v="8"/>
  </r>
  <r>
    <n v="215"/>
    <n v="141"/>
    <d v="2025-01-12T00:00:00"/>
    <s v="Noche"/>
    <s v="M1"/>
    <x v="2"/>
    <n v="26"/>
  </r>
  <r>
    <n v="216"/>
    <n v="142"/>
    <d v="2025-01-12T00:00:00"/>
    <s v="Noche"/>
    <s v="M2"/>
    <x v="0"/>
    <n v="11"/>
  </r>
  <r>
    <n v="217"/>
    <n v="143"/>
    <d v="2025-01-12T00:00:00"/>
    <s v="Noche"/>
    <s v="M3"/>
    <x v="1"/>
    <n v="7"/>
  </r>
  <r>
    <n v="218"/>
    <n v="143"/>
    <d v="2025-01-12T00:00:00"/>
    <s v="Noche"/>
    <s v="M3"/>
    <x v="3"/>
    <n v="92"/>
  </r>
  <r>
    <n v="219"/>
    <n v="144"/>
    <d v="2025-01-12T00:00:00"/>
    <s v="Noche"/>
    <s v="M4"/>
    <x v="3"/>
    <n v="15"/>
  </r>
  <r>
    <n v="220"/>
    <n v="144"/>
    <d v="2025-01-12T00:00:00"/>
    <s v="Noche"/>
    <s v="M4"/>
    <x v="3"/>
    <n v="62"/>
  </r>
  <r>
    <n v="221"/>
    <n v="144"/>
    <d v="2025-01-12T00:00:00"/>
    <s v="Noche"/>
    <s v="M4"/>
    <x v="1"/>
    <n v="21"/>
  </r>
  <r>
    <n v="222"/>
    <n v="144"/>
    <d v="2025-01-12T00:00:00"/>
    <s v="Noche"/>
    <s v="M4"/>
    <x v="0"/>
    <n v="8"/>
  </r>
  <r>
    <n v="223"/>
    <n v="145"/>
    <d v="2025-01-13T00:00:00"/>
    <s v="Mañana"/>
    <s v="M1"/>
    <x v="3"/>
    <n v="129"/>
  </r>
  <r>
    <n v="224"/>
    <n v="145"/>
    <d v="2025-01-13T00:00:00"/>
    <s v="Mañana"/>
    <s v="M1"/>
    <x v="4"/>
    <n v="132"/>
  </r>
  <r>
    <n v="225"/>
    <n v="146"/>
    <d v="2025-01-13T00:00:00"/>
    <s v="Mañana"/>
    <s v="M2"/>
    <x v="5"/>
    <n v="5"/>
  </r>
  <r>
    <n v="226"/>
    <n v="146"/>
    <d v="2025-01-13T00:00:00"/>
    <s v="Mañana"/>
    <s v="M2"/>
    <x v="0"/>
    <n v="34"/>
  </r>
  <r>
    <n v="227"/>
    <n v="149"/>
    <d v="2025-01-13T00:00:00"/>
    <s v="Tarde"/>
    <s v="M1"/>
    <x v="2"/>
    <n v="9"/>
  </r>
  <r>
    <n v="228"/>
    <n v="149"/>
    <d v="2025-01-13T00:00:00"/>
    <s v="Tarde"/>
    <s v="M1"/>
    <x v="0"/>
    <n v="57"/>
  </r>
  <r>
    <n v="229"/>
    <n v="149"/>
    <d v="2025-01-13T00:00:00"/>
    <s v="Tarde"/>
    <s v="M1"/>
    <x v="2"/>
    <n v="5"/>
  </r>
  <r>
    <n v="230"/>
    <n v="149"/>
    <d v="2025-01-13T00:00:00"/>
    <s v="Tarde"/>
    <s v="M1"/>
    <x v="0"/>
    <n v="51"/>
  </r>
  <r>
    <n v="231"/>
    <n v="150"/>
    <d v="2025-01-13T00:00:00"/>
    <s v="Tarde"/>
    <s v="M2"/>
    <x v="5"/>
    <n v="6"/>
  </r>
  <r>
    <n v="232"/>
    <n v="150"/>
    <d v="2025-01-13T00:00:00"/>
    <s v="Tarde"/>
    <s v="M2"/>
    <x v="1"/>
    <n v="25"/>
  </r>
  <r>
    <n v="233"/>
    <n v="151"/>
    <d v="2025-01-13T00:00:00"/>
    <s v="Tarde"/>
    <s v="M3"/>
    <x v="1"/>
    <n v="28"/>
  </r>
  <r>
    <n v="234"/>
    <n v="151"/>
    <d v="2025-01-13T00:00:00"/>
    <s v="Tarde"/>
    <s v="M3"/>
    <x v="5"/>
    <n v="5"/>
  </r>
  <r>
    <n v="235"/>
    <n v="151"/>
    <d v="2025-01-13T00:00:00"/>
    <s v="Tarde"/>
    <s v="M3"/>
    <x v="4"/>
    <n v="51"/>
  </r>
  <r>
    <n v="236"/>
    <n v="151"/>
    <d v="2025-01-13T00:00:00"/>
    <s v="Tarde"/>
    <s v="M3"/>
    <x v="0"/>
    <n v="78"/>
  </r>
  <r>
    <n v="237"/>
    <n v="151"/>
    <d v="2025-01-13T00:00:00"/>
    <s v="Tarde"/>
    <s v="M3"/>
    <x v="0"/>
    <n v="18"/>
  </r>
  <r>
    <n v="238"/>
    <n v="151"/>
    <d v="2025-01-13T00:00:00"/>
    <s v="Tarde"/>
    <s v="M3"/>
    <x v="1"/>
    <n v="5"/>
  </r>
  <r>
    <n v="239"/>
    <n v="152"/>
    <d v="2025-01-13T00:00:00"/>
    <s v="Tarde"/>
    <s v="M4"/>
    <x v="0"/>
    <n v="43"/>
  </r>
  <r>
    <n v="240"/>
    <n v="153"/>
    <d v="2025-01-13T00:00:00"/>
    <s v="Noche"/>
    <s v="M1"/>
    <x v="2"/>
    <n v="30"/>
  </r>
  <r>
    <n v="241"/>
    <n v="154"/>
    <d v="2025-01-13T00:00:00"/>
    <s v="Noche"/>
    <s v="M2"/>
    <x v="1"/>
    <n v="80"/>
  </r>
  <r>
    <n v="242"/>
    <n v="154"/>
    <d v="2025-01-13T00:00:00"/>
    <s v="Noche"/>
    <s v="M2"/>
    <x v="0"/>
    <n v="124"/>
  </r>
  <r>
    <n v="243"/>
    <n v="155"/>
    <d v="2025-01-13T00:00:00"/>
    <s v="Noche"/>
    <s v="M3"/>
    <x v="0"/>
    <n v="39"/>
  </r>
  <r>
    <n v="244"/>
    <n v="157"/>
    <d v="2025-01-14T00:00:00"/>
    <s v="Mañana"/>
    <s v="M1"/>
    <x v="5"/>
    <n v="5"/>
  </r>
  <r>
    <n v="245"/>
    <n v="157"/>
    <d v="2025-01-14T00:00:00"/>
    <s v="Mañana"/>
    <s v="M1"/>
    <x v="0"/>
    <n v="17"/>
  </r>
  <r>
    <n v="246"/>
    <n v="158"/>
    <d v="2025-01-14T00:00:00"/>
    <s v="Mañana"/>
    <s v="M2"/>
    <x v="3"/>
    <n v="33"/>
  </r>
  <r>
    <n v="247"/>
    <n v="158"/>
    <d v="2025-01-14T00:00:00"/>
    <s v="Mañana"/>
    <s v="M2"/>
    <x v="2"/>
    <n v="5"/>
  </r>
  <r>
    <n v="248"/>
    <n v="160"/>
    <d v="2025-01-14T00:00:00"/>
    <s v="Mañana"/>
    <s v="M4"/>
    <x v="3"/>
    <n v="9"/>
  </r>
  <r>
    <n v="249"/>
    <n v="161"/>
    <d v="2025-01-14T00:00:00"/>
    <s v="Tarde"/>
    <s v="M1"/>
    <x v="0"/>
    <n v="186"/>
  </r>
  <r>
    <n v="250"/>
    <n v="161"/>
    <d v="2025-01-14T00:00:00"/>
    <s v="Tarde"/>
    <s v="M1"/>
    <x v="2"/>
    <n v="44"/>
  </r>
  <r>
    <n v="251"/>
    <n v="163"/>
    <d v="2025-01-14T00:00:00"/>
    <s v="Tarde"/>
    <s v="M3"/>
    <x v="4"/>
    <n v="37"/>
  </r>
  <r>
    <n v="252"/>
    <n v="163"/>
    <d v="2025-01-14T00:00:00"/>
    <s v="Tarde"/>
    <s v="M3"/>
    <x v="5"/>
    <n v="27"/>
  </r>
  <r>
    <n v="253"/>
    <n v="163"/>
    <d v="2025-01-14T00:00:00"/>
    <s v="Tarde"/>
    <s v="M3"/>
    <x v="5"/>
    <n v="14"/>
  </r>
  <r>
    <n v="254"/>
    <n v="164"/>
    <d v="2025-01-14T00:00:00"/>
    <s v="Tarde"/>
    <s v="M4"/>
    <x v="0"/>
    <n v="6"/>
  </r>
  <r>
    <n v="255"/>
    <n v="164"/>
    <d v="2025-01-14T00:00:00"/>
    <s v="Tarde"/>
    <s v="M4"/>
    <x v="1"/>
    <n v="16"/>
  </r>
  <r>
    <n v="256"/>
    <n v="164"/>
    <d v="2025-01-14T00:00:00"/>
    <s v="Tarde"/>
    <s v="M4"/>
    <x v="0"/>
    <n v="30"/>
  </r>
  <r>
    <n v="257"/>
    <n v="165"/>
    <d v="2025-01-14T00:00:00"/>
    <s v="Noche"/>
    <s v="M1"/>
    <x v="0"/>
    <n v="27"/>
  </r>
  <r>
    <n v="258"/>
    <n v="166"/>
    <d v="2025-01-14T00:00:00"/>
    <s v="Noche"/>
    <s v="M2"/>
    <x v="1"/>
    <n v="10"/>
  </r>
  <r>
    <n v="259"/>
    <n v="167"/>
    <d v="2025-01-14T00:00:00"/>
    <s v="Noche"/>
    <s v="M3"/>
    <x v="2"/>
    <n v="5"/>
  </r>
  <r>
    <n v="260"/>
    <n v="169"/>
    <d v="2025-01-15T00:00:00"/>
    <s v="Mañana"/>
    <s v="M1"/>
    <x v="0"/>
    <n v="32"/>
  </r>
  <r>
    <n v="261"/>
    <n v="169"/>
    <d v="2025-01-15T00:00:00"/>
    <s v="Mañana"/>
    <s v="M1"/>
    <x v="0"/>
    <n v="19"/>
  </r>
  <r>
    <n v="262"/>
    <n v="170"/>
    <d v="2025-01-15T00:00:00"/>
    <s v="Mañana"/>
    <s v="M2"/>
    <x v="2"/>
    <n v="23"/>
  </r>
  <r>
    <n v="263"/>
    <n v="172"/>
    <d v="2025-01-15T00:00:00"/>
    <s v="Mañana"/>
    <s v="M4"/>
    <x v="3"/>
    <n v="5"/>
  </r>
  <r>
    <n v="264"/>
    <n v="173"/>
    <d v="2025-01-15T00:00:00"/>
    <s v="Tarde"/>
    <s v="M1"/>
    <x v="5"/>
    <n v="5"/>
  </r>
  <r>
    <n v="265"/>
    <n v="173"/>
    <d v="2025-01-15T00:00:00"/>
    <s v="Tarde"/>
    <s v="M1"/>
    <x v="4"/>
    <n v="19"/>
  </r>
  <r>
    <n v="266"/>
    <n v="173"/>
    <d v="2025-01-15T00:00:00"/>
    <s v="Tarde"/>
    <s v="M1"/>
    <x v="5"/>
    <n v="9"/>
  </r>
  <r>
    <n v="267"/>
    <n v="174"/>
    <d v="2025-01-15T00:00:00"/>
    <s v="Tarde"/>
    <s v="M2"/>
    <x v="0"/>
    <n v="12"/>
  </r>
  <r>
    <n v="268"/>
    <n v="177"/>
    <d v="2025-01-15T00:00:00"/>
    <s v="Noche"/>
    <s v="M1"/>
    <x v="0"/>
    <n v="252"/>
  </r>
  <r>
    <n v="269"/>
    <n v="177"/>
    <d v="2025-01-15T00:00:00"/>
    <s v="Noche"/>
    <s v="M1"/>
    <x v="3"/>
    <n v="63"/>
  </r>
  <r>
    <n v="270"/>
    <n v="179"/>
    <d v="2025-01-15T00:00:00"/>
    <s v="Noche"/>
    <s v="M3"/>
    <x v="2"/>
    <n v="8"/>
  </r>
  <r>
    <n v="271"/>
    <n v="179"/>
    <d v="2025-01-15T00:00:00"/>
    <s v="Noche"/>
    <s v="M3"/>
    <x v="2"/>
    <n v="87"/>
  </r>
  <r>
    <n v="272"/>
    <n v="179"/>
    <d v="2025-01-15T00:00:00"/>
    <s v="Noche"/>
    <s v="M3"/>
    <x v="0"/>
    <n v="90"/>
  </r>
  <r>
    <n v="273"/>
    <n v="180"/>
    <d v="2025-01-15T00:00:00"/>
    <s v="Noche"/>
    <s v="M4"/>
    <x v="0"/>
    <n v="40"/>
  </r>
  <r>
    <n v="274"/>
    <n v="180"/>
    <d v="2025-01-15T00:00:00"/>
    <s v="Noche"/>
    <s v="M4"/>
    <x v="4"/>
    <n v="5"/>
  </r>
  <r>
    <n v="275"/>
    <n v="180"/>
    <d v="2025-01-15T00:00:00"/>
    <s v="Noche"/>
    <s v="M4"/>
    <x v="1"/>
    <n v="29"/>
  </r>
  <r>
    <n v="276"/>
    <n v="180"/>
    <d v="2025-01-15T00:00:00"/>
    <s v="Noche"/>
    <s v="M4"/>
    <x v="1"/>
    <n v="5"/>
  </r>
  <r>
    <n v="277"/>
    <n v="183"/>
    <d v="2025-01-16T00:00:00"/>
    <s v="Mañana"/>
    <s v="M3"/>
    <x v="2"/>
    <n v="14"/>
  </r>
  <r>
    <n v="278"/>
    <n v="185"/>
    <d v="2025-01-16T00:00:00"/>
    <s v="Tarde"/>
    <s v="M1"/>
    <x v="0"/>
    <n v="66"/>
  </r>
  <r>
    <n v="279"/>
    <n v="186"/>
    <d v="2025-01-16T00:00:00"/>
    <s v="Tarde"/>
    <s v="M2"/>
    <x v="0"/>
    <n v="8"/>
  </r>
  <r>
    <n v="280"/>
    <n v="187"/>
    <d v="2025-01-16T00:00:00"/>
    <s v="Tarde"/>
    <s v="M3"/>
    <x v="1"/>
    <n v="36"/>
  </r>
  <r>
    <n v="281"/>
    <n v="187"/>
    <d v="2025-01-16T00:00:00"/>
    <s v="Tarde"/>
    <s v="M3"/>
    <x v="0"/>
    <n v="8"/>
  </r>
  <r>
    <n v="282"/>
    <n v="188"/>
    <d v="2025-01-16T00:00:00"/>
    <s v="Tarde"/>
    <s v="M4"/>
    <x v="2"/>
    <n v="40"/>
  </r>
  <r>
    <n v="283"/>
    <n v="188"/>
    <d v="2025-01-16T00:00:00"/>
    <s v="Tarde"/>
    <s v="M4"/>
    <x v="0"/>
    <n v="5"/>
  </r>
  <r>
    <n v="284"/>
    <n v="188"/>
    <d v="2025-01-16T00:00:00"/>
    <s v="Tarde"/>
    <s v="M4"/>
    <x v="0"/>
    <n v="5"/>
  </r>
  <r>
    <n v="285"/>
    <n v="190"/>
    <d v="2025-01-16T00:00:00"/>
    <s v="Noche"/>
    <s v="M2"/>
    <x v="0"/>
    <n v="7"/>
  </r>
  <r>
    <n v="286"/>
    <n v="190"/>
    <d v="2025-01-16T00:00:00"/>
    <s v="Noche"/>
    <s v="M2"/>
    <x v="3"/>
    <n v="201"/>
  </r>
  <r>
    <n v="287"/>
    <n v="191"/>
    <d v="2025-01-16T00:00:00"/>
    <s v="Noche"/>
    <s v="M3"/>
    <x v="2"/>
    <n v="21"/>
  </r>
  <r>
    <n v="288"/>
    <n v="191"/>
    <d v="2025-01-16T00:00:00"/>
    <s v="Noche"/>
    <s v="M3"/>
    <x v="0"/>
    <n v="5"/>
  </r>
  <r>
    <n v="289"/>
    <n v="191"/>
    <d v="2025-01-16T00:00:00"/>
    <s v="Noche"/>
    <s v="M3"/>
    <x v="0"/>
    <n v="54"/>
  </r>
  <r>
    <n v="290"/>
    <n v="192"/>
    <d v="2025-01-16T00:00:00"/>
    <s v="Noche"/>
    <s v="M4"/>
    <x v="1"/>
    <n v="17"/>
  </r>
  <r>
    <n v="291"/>
    <n v="193"/>
    <d v="2025-01-17T00:00:00"/>
    <s v="Mañana"/>
    <s v="M1"/>
    <x v="1"/>
    <n v="60"/>
  </r>
  <r>
    <n v="292"/>
    <n v="193"/>
    <d v="2025-01-17T00:00:00"/>
    <s v="Mañana"/>
    <s v="M1"/>
    <x v="2"/>
    <n v="5"/>
  </r>
  <r>
    <n v="293"/>
    <n v="193"/>
    <d v="2025-01-17T00:00:00"/>
    <s v="Mañana"/>
    <s v="M1"/>
    <x v="3"/>
    <n v="70"/>
  </r>
  <r>
    <n v="294"/>
    <n v="193"/>
    <d v="2025-01-17T00:00:00"/>
    <s v="Mañana"/>
    <s v="M1"/>
    <x v="1"/>
    <n v="7"/>
  </r>
  <r>
    <n v="295"/>
    <n v="194"/>
    <d v="2025-01-17T00:00:00"/>
    <s v="Mañana"/>
    <s v="M2"/>
    <x v="1"/>
    <n v="223"/>
  </r>
  <r>
    <n v="296"/>
    <n v="195"/>
    <d v="2025-01-17T00:00:00"/>
    <s v="Mañana"/>
    <s v="M3"/>
    <x v="1"/>
    <n v="63"/>
  </r>
  <r>
    <n v="297"/>
    <n v="195"/>
    <d v="2025-01-17T00:00:00"/>
    <s v="Mañana"/>
    <s v="M3"/>
    <x v="2"/>
    <n v="7"/>
  </r>
  <r>
    <n v="298"/>
    <n v="195"/>
    <d v="2025-01-17T00:00:00"/>
    <s v="Mañana"/>
    <s v="M3"/>
    <x v="1"/>
    <n v="49"/>
  </r>
  <r>
    <n v="299"/>
    <n v="196"/>
    <d v="2025-01-17T00:00:00"/>
    <s v="Mañana"/>
    <s v="M4"/>
    <x v="2"/>
    <n v="5"/>
  </r>
  <r>
    <n v="300"/>
    <n v="196"/>
    <d v="2025-01-17T00:00:00"/>
    <s v="Mañana"/>
    <s v="M4"/>
    <x v="0"/>
    <n v="20"/>
  </r>
  <r>
    <n v="301"/>
    <n v="197"/>
    <d v="2025-01-17T00:00:00"/>
    <s v="Tarde"/>
    <s v="M1"/>
    <x v="0"/>
    <n v="21"/>
  </r>
  <r>
    <n v="302"/>
    <n v="198"/>
    <d v="2025-01-17T00:00:00"/>
    <s v="Tarde"/>
    <s v="M2"/>
    <x v="2"/>
    <n v="39"/>
  </r>
  <r>
    <n v="303"/>
    <n v="198"/>
    <d v="2025-01-17T00:00:00"/>
    <s v="Tarde"/>
    <s v="M2"/>
    <x v="2"/>
    <n v="13"/>
  </r>
  <r>
    <n v="304"/>
    <n v="198"/>
    <d v="2025-01-17T00:00:00"/>
    <s v="Tarde"/>
    <s v="M2"/>
    <x v="0"/>
    <n v="18"/>
  </r>
  <r>
    <n v="305"/>
    <n v="199"/>
    <d v="2025-01-17T00:00:00"/>
    <s v="Tarde"/>
    <s v="M3"/>
    <x v="5"/>
    <n v="25"/>
  </r>
  <r>
    <n v="306"/>
    <n v="199"/>
    <d v="2025-01-17T00:00:00"/>
    <s v="Tarde"/>
    <s v="M3"/>
    <x v="1"/>
    <n v="93"/>
  </r>
  <r>
    <n v="307"/>
    <n v="201"/>
    <d v="2025-01-17T00:00:00"/>
    <s v="Noche"/>
    <s v="M1"/>
    <x v="3"/>
    <n v="25"/>
  </r>
  <r>
    <n v="308"/>
    <n v="201"/>
    <d v="2025-01-17T00:00:00"/>
    <s v="Noche"/>
    <s v="M1"/>
    <x v="0"/>
    <n v="29"/>
  </r>
  <r>
    <n v="309"/>
    <n v="202"/>
    <d v="2025-01-17T00:00:00"/>
    <s v="Noche"/>
    <s v="M2"/>
    <x v="0"/>
    <n v="42"/>
  </r>
  <r>
    <n v="310"/>
    <n v="202"/>
    <d v="2025-01-17T00:00:00"/>
    <s v="Noche"/>
    <s v="M2"/>
    <x v="1"/>
    <n v="9"/>
  </r>
  <r>
    <n v="311"/>
    <n v="204"/>
    <d v="2025-01-17T00:00:00"/>
    <s v="Noche"/>
    <s v="M4"/>
    <x v="2"/>
    <n v="5"/>
  </r>
  <r>
    <n v="312"/>
    <n v="204"/>
    <d v="2025-01-17T00:00:00"/>
    <s v="Noche"/>
    <s v="M4"/>
    <x v="3"/>
    <n v="39"/>
  </r>
  <r>
    <n v="313"/>
    <n v="206"/>
    <d v="2025-01-18T00:00:00"/>
    <s v="Mañana"/>
    <s v="M2"/>
    <x v="0"/>
    <n v="42"/>
  </r>
  <r>
    <n v="314"/>
    <n v="206"/>
    <d v="2025-01-18T00:00:00"/>
    <s v="Mañana"/>
    <s v="M2"/>
    <x v="2"/>
    <n v="36"/>
  </r>
  <r>
    <n v="315"/>
    <n v="206"/>
    <d v="2025-01-18T00:00:00"/>
    <s v="Mañana"/>
    <s v="M2"/>
    <x v="4"/>
    <n v="10"/>
  </r>
  <r>
    <n v="316"/>
    <n v="207"/>
    <d v="2025-01-18T00:00:00"/>
    <s v="Mañana"/>
    <s v="M3"/>
    <x v="1"/>
    <n v="5"/>
  </r>
  <r>
    <n v="317"/>
    <n v="207"/>
    <d v="2025-01-18T00:00:00"/>
    <s v="Mañana"/>
    <s v="M3"/>
    <x v="1"/>
    <n v="18"/>
  </r>
  <r>
    <n v="318"/>
    <n v="208"/>
    <d v="2025-01-18T00:00:00"/>
    <s v="Mañana"/>
    <s v="M4"/>
    <x v="0"/>
    <n v="5"/>
  </r>
  <r>
    <n v="319"/>
    <n v="208"/>
    <d v="2025-01-18T00:00:00"/>
    <s v="Mañana"/>
    <s v="M4"/>
    <x v="1"/>
    <n v="28"/>
  </r>
  <r>
    <n v="320"/>
    <n v="209"/>
    <d v="2025-01-18T00:00:00"/>
    <s v="Tarde"/>
    <s v="M1"/>
    <x v="3"/>
    <n v="8"/>
  </r>
  <r>
    <n v="321"/>
    <n v="209"/>
    <d v="2025-01-18T00:00:00"/>
    <s v="Tarde"/>
    <s v="M1"/>
    <x v="1"/>
    <n v="15"/>
  </r>
  <r>
    <n v="322"/>
    <n v="210"/>
    <d v="2025-01-18T00:00:00"/>
    <s v="Tarde"/>
    <s v="M2"/>
    <x v="0"/>
    <n v="57"/>
  </r>
  <r>
    <n v="323"/>
    <n v="210"/>
    <d v="2025-01-18T00:00:00"/>
    <s v="Tarde"/>
    <s v="M2"/>
    <x v="2"/>
    <n v="6"/>
  </r>
  <r>
    <n v="324"/>
    <n v="211"/>
    <d v="2025-01-18T00:00:00"/>
    <s v="Tarde"/>
    <s v="M3"/>
    <x v="0"/>
    <n v="11"/>
  </r>
  <r>
    <n v="325"/>
    <n v="212"/>
    <d v="2025-01-18T00:00:00"/>
    <s v="Tarde"/>
    <s v="M4"/>
    <x v="5"/>
    <n v="5"/>
  </r>
  <r>
    <n v="326"/>
    <n v="213"/>
    <d v="2025-01-18T00:00:00"/>
    <s v="Noche"/>
    <s v="M1"/>
    <x v="0"/>
    <n v="49"/>
  </r>
  <r>
    <n v="327"/>
    <n v="213"/>
    <d v="2025-01-18T00:00:00"/>
    <s v="Noche"/>
    <s v="M1"/>
    <x v="3"/>
    <n v="65"/>
  </r>
  <r>
    <n v="328"/>
    <n v="214"/>
    <d v="2025-01-18T00:00:00"/>
    <s v="Noche"/>
    <s v="M2"/>
    <x v="2"/>
    <n v="63"/>
  </r>
  <r>
    <n v="329"/>
    <n v="216"/>
    <d v="2025-01-18T00:00:00"/>
    <s v="Noche"/>
    <s v="M4"/>
    <x v="1"/>
    <n v="47"/>
  </r>
  <r>
    <n v="330"/>
    <n v="216"/>
    <d v="2025-01-18T00:00:00"/>
    <s v="Noche"/>
    <s v="M4"/>
    <x v="4"/>
    <n v="6"/>
  </r>
  <r>
    <n v="331"/>
    <n v="217"/>
    <d v="2025-01-19T00:00:00"/>
    <s v="Mañana"/>
    <s v="M1"/>
    <x v="1"/>
    <n v="5"/>
  </r>
  <r>
    <n v="332"/>
    <n v="217"/>
    <d v="2025-01-19T00:00:00"/>
    <s v="Mañana"/>
    <s v="M1"/>
    <x v="5"/>
    <n v="5"/>
  </r>
  <r>
    <n v="333"/>
    <n v="217"/>
    <d v="2025-01-19T00:00:00"/>
    <s v="Mañana"/>
    <s v="M1"/>
    <x v="5"/>
    <n v="22"/>
  </r>
  <r>
    <n v="334"/>
    <n v="217"/>
    <d v="2025-01-19T00:00:00"/>
    <s v="Mañana"/>
    <s v="M1"/>
    <x v="1"/>
    <n v="5"/>
  </r>
  <r>
    <n v="335"/>
    <n v="218"/>
    <d v="2025-01-19T00:00:00"/>
    <s v="Mañana"/>
    <s v="M2"/>
    <x v="3"/>
    <n v="48"/>
  </r>
  <r>
    <n v="336"/>
    <n v="219"/>
    <d v="2025-01-19T00:00:00"/>
    <s v="Mañana"/>
    <s v="M3"/>
    <x v="4"/>
    <n v="17"/>
  </r>
  <r>
    <n v="337"/>
    <n v="219"/>
    <d v="2025-01-19T00:00:00"/>
    <s v="Mañana"/>
    <s v="M3"/>
    <x v="3"/>
    <n v="114"/>
  </r>
  <r>
    <n v="338"/>
    <n v="221"/>
    <d v="2025-01-19T00:00:00"/>
    <s v="Tarde"/>
    <s v="M1"/>
    <x v="0"/>
    <n v="23"/>
  </r>
  <r>
    <n v="339"/>
    <n v="221"/>
    <d v="2025-01-19T00:00:00"/>
    <s v="Tarde"/>
    <s v="M1"/>
    <x v="0"/>
    <n v="53"/>
  </r>
  <r>
    <n v="340"/>
    <n v="221"/>
    <d v="2025-01-19T00:00:00"/>
    <s v="Tarde"/>
    <s v="M1"/>
    <x v="0"/>
    <n v="167"/>
  </r>
  <r>
    <n v="341"/>
    <n v="221"/>
    <d v="2025-01-19T00:00:00"/>
    <s v="Tarde"/>
    <s v="M1"/>
    <x v="1"/>
    <n v="51"/>
  </r>
  <r>
    <n v="342"/>
    <n v="222"/>
    <d v="2025-01-19T00:00:00"/>
    <s v="Tarde"/>
    <s v="M2"/>
    <x v="0"/>
    <n v="31"/>
  </r>
  <r>
    <n v="343"/>
    <n v="222"/>
    <d v="2025-01-19T00:00:00"/>
    <s v="Tarde"/>
    <s v="M2"/>
    <x v="2"/>
    <n v="5"/>
  </r>
  <r>
    <n v="344"/>
    <n v="222"/>
    <d v="2025-01-19T00:00:00"/>
    <s v="Tarde"/>
    <s v="M2"/>
    <x v="2"/>
    <n v="5"/>
  </r>
  <r>
    <n v="345"/>
    <n v="223"/>
    <d v="2025-01-19T00:00:00"/>
    <s v="Tarde"/>
    <s v="M3"/>
    <x v="0"/>
    <n v="31"/>
  </r>
  <r>
    <n v="346"/>
    <n v="223"/>
    <d v="2025-01-19T00:00:00"/>
    <s v="Tarde"/>
    <s v="M3"/>
    <x v="2"/>
    <n v="5"/>
  </r>
  <r>
    <n v="347"/>
    <n v="223"/>
    <d v="2025-01-19T00:00:00"/>
    <s v="Tarde"/>
    <s v="M3"/>
    <x v="1"/>
    <n v="7"/>
  </r>
  <r>
    <n v="348"/>
    <n v="225"/>
    <d v="2025-01-19T00:00:00"/>
    <s v="Noche"/>
    <s v="M1"/>
    <x v="3"/>
    <n v="5"/>
  </r>
  <r>
    <n v="349"/>
    <n v="226"/>
    <d v="2025-01-19T00:00:00"/>
    <s v="Noche"/>
    <s v="M2"/>
    <x v="0"/>
    <n v="16"/>
  </r>
  <r>
    <n v="350"/>
    <n v="228"/>
    <d v="2025-01-19T00:00:00"/>
    <s v="Noche"/>
    <s v="M4"/>
    <x v="1"/>
    <n v="22"/>
  </r>
  <r>
    <n v="351"/>
    <n v="228"/>
    <d v="2025-01-19T00:00:00"/>
    <s v="Noche"/>
    <s v="M4"/>
    <x v="2"/>
    <n v="5"/>
  </r>
  <r>
    <n v="352"/>
    <n v="230"/>
    <d v="2025-01-20T00:00:00"/>
    <s v="Mañana"/>
    <s v="M2"/>
    <x v="2"/>
    <n v="13"/>
  </r>
  <r>
    <n v="353"/>
    <n v="230"/>
    <d v="2025-01-20T00:00:00"/>
    <s v="Mañana"/>
    <s v="M2"/>
    <x v="0"/>
    <n v="13"/>
  </r>
  <r>
    <n v="354"/>
    <n v="230"/>
    <d v="2025-01-20T00:00:00"/>
    <s v="Mañana"/>
    <s v="M2"/>
    <x v="5"/>
    <n v="5"/>
  </r>
  <r>
    <n v="355"/>
    <n v="232"/>
    <d v="2025-01-20T00:00:00"/>
    <s v="Mañana"/>
    <s v="M4"/>
    <x v="2"/>
    <n v="12"/>
  </r>
  <r>
    <n v="356"/>
    <n v="232"/>
    <d v="2025-01-20T00:00:00"/>
    <s v="Mañana"/>
    <s v="M4"/>
    <x v="5"/>
    <n v="5"/>
  </r>
  <r>
    <n v="357"/>
    <n v="232"/>
    <d v="2025-01-20T00:00:00"/>
    <s v="Mañana"/>
    <s v="M4"/>
    <x v="2"/>
    <n v="5"/>
  </r>
  <r>
    <n v="358"/>
    <n v="233"/>
    <d v="2025-01-20T00:00:00"/>
    <s v="Tarde"/>
    <s v="M1"/>
    <x v="2"/>
    <n v="12"/>
  </r>
  <r>
    <n v="359"/>
    <n v="234"/>
    <d v="2025-01-20T00:00:00"/>
    <s v="Tarde"/>
    <s v="M2"/>
    <x v="2"/>
    <n v="5"/>
  </r>
  <r>
    <n v="360"/>
    <n v="234"/>
    <d v="2025-01-20T00:00:00"/>
    <s v="Tarde"/>
    <s v="M2"/>
    <x v="5"/>
    <n v="5"/>
  </r>
  <r>
    <n v="361"/>
    <n v="234"/>
    <d v="2025-01-20T00:00:00"/>
    <s v="Tarde"/>
    <s v="M2"/>
    <x v="4"/>
    <n v="15"/>
  </r>
  <r>
    <n v="362"/>
    <n v="235"/>
    <d v="2025-01-20T00:00:00"/>
    <s v="Tarde"/>
    <s v="M3"/>
    <x v="2"/>
    <n v="5"/>
  </r>
  <r>
    <n v="363"/>
    <n v="235"/>
    <d v="2025-01-20T00:00:00"/>
    <s v="Tarde"/>
    <s v="M3"/>
    <x v="1"/>
    <n v="21"/>
  </r>
  <r>
    <n v="364"/>
    <n v="235"/>
    <d v="2025-01-20T00:00:00"/>
    <s v="Tarde"/>
    <s v="M3"/>
    <x v="1"/>
    <n v="5"/>
  </r>
  <r>
    <n v="365"/>
    <n v="237"/>
    <d v="2025-01-20T00:00:00"/>
    <s v="Noche"/>
    <s v="M1"/>
    <x v="0"/>
    <n v="67"/>
  </r>
  <r>
    <n v="366"/>
    <n v="237"/>
    <d v="2025-01-20T00:00:00"/>
    <s v="Noche"/>
    <s v="M1"/>
    <x v="1"/>
    <n v="6"/>
  </r>
  <r>
    <n v="367"/>
    <n v="237"/>
    <d v="2025-01-20T00:00:00"/>
    <s v="Noche"/>
    <s v="M1"/>
    <x v="0"/>
    <n v="5"/>
  </r>
  <r>
    <n v="368"/>
    <n v="238"/>
    <d v="2025-01-20T00:00:00"/>
    <s v="Noche"/>
    <s v="M2"/>
    <x v="0"/>
    <n v="154"/>
  </r>
  <r>
    <n v="369"/>
    <n v="239"/>
    <d v="2025-01-20T00:00:00"/>
    <s v="Noche"/>
    <s v="M3"/>
    <x v="0"/>
    <n v="42"/>
  </r>
  <r>
    <n v="370"/>
    <n v="239"/>
    <d v="2025-01-20T00:00:00"/>
    <s v="Noche"/>
    <s v="M3"/>
    <x v="5"/>
    <n v="15"/>
  </r>
  <r>
    <n v="371"/>
    <n v="240"/>
    <d v="2025-01-20T00:00:00"/>
    <s v="Noche"/>
    <s v="M4"/>
    <x v="1"/>
    <n v="26"/>
  </r>
  <r>
    <n v="372"/>
    <n v="240"/>
    <d v="2025-01-20T00:00:00"/>
    <s v="Noche"/>
    <s v="M4"/>
    <x v="1"/>
    <n v="50"/>
  </r>
  <r>
    <n v="373"/>
    <n v="240"/>
    <d v="2025-01-20T00:00:00"/>
    <s v="Noche"/>
    <s v="M4"/>
    <x v="1"/>
    <n v="5"/>
  </r>
  <r>
    <n v="374"/>
    <n v="241"/>
    <d v="2025-01-21T00:00:00"/>
    <s v="Mañana"/>
    <s v="M1"/>
    <x v="2"/>
    <n v="11"/>
  </r>
  <r>
    <n v="375"/>
    <n v="242"/>
    <d v="2025-01-21T00:00:00"/>
    <s v="Mañana"/>
    <s v="M2"/>
    <x v="0"/>
    <n v="98"/>
  </r>
  <r>
    <n v="376"/>
    <n v="243"/>
    <d v="2025-01-21T00:00:00"/>
    <s v="Mañana"/>
    <s v="M3"/>
    <x v="5"/>
    <n v="9"/>
  </r>
  <r>
    <n v="377"/>
    <n v="243"/>
    <d v="2025-01-21T00:00:00"/>
    <s v="Mañana"/>
    <s v="M3"/>
    <x v="5"/>
    <n v="19"/>
  </r>
  <r>
    <n v="378"/>
    <n v="243"/>
    <d v="2025-01-21T00:00:00"/>
    <s v="Mañana"/>
    <s v="M3"/>
    <x v="5"/>
    <n v="16"/>
  </r>
  <r>
    <n v="379"/>
    <n v="243"/>
    <d v="2025-01-21T00:00:00"/>
    <s v="Mañana"/>
    <s v="M3"/>
    <x v="0"/>
    <n v="35"/>
  </r>
  <r>
    <n v="380"/>
    <n v="245"/>
    <d v="2025-01-21T00:00:00"/>
    <s v="Tarde"/>
    <s v="M1"/>
    <x v="2"/>
    <n v="36"/>
  </r>
  <r>
    <n v="381"/>
    <n v="245"/>
    <d v="2025-01-21T00:00:00"/>
    <s v="Tarde"/>
    <s v="M1"/>
    <x v="1"/>
    <n v="23"/>
  </r>
  <r>
    <n v="382"/>
    <n v="246"/>
    <d v="2025-01-21T00:00:00"/>
    <s v="Tarde"/>
    <s v="M2"/>
    <x v="1"/>
    <n v="61"/>
  </r>
  <r>
    <n v="383"/>
    <n v="248"/>
    <d v="2025-01-21T00:00:00"/>
    <s v="Tarde"/>
    <s v="M4"/>
    <x v="3"/>
    <n v="6"/>
  </r>
  <r>
    <n v="384"/>
    <n v="250"/>
    <d v="2025-01-21T00:00:00"/>
    <s v="Noche"/>
    <s v="M2"/>
    <x v="2"/>
    <n v="30"/>
  </r>
  <r>
    <n v="385"/>
    <n v="251"/>
    <d v="2025-01-21T00:00:00"/>
    <s v="Noche"/>
    <s v="M3"/>
    <x v="1"/>
    <n v="6"/>
  </r>
  <r>
    <n v="386"/>
    <n v="252"/>
    <d v="2025-01-21T00:00:00"/>
    <s v="Noche"/>
    <s v="M4"/>
    <x v="0"/>
    <n v="94"/>
  </r>
  <r>
    <n v="387"/>
    <n v="253"/>
    <d v="2025-01-22T00:00:00"/>
    <s v="Mañana"/>
    <s v="M1"/>
    <x v="2"/>
    <n v="10"/>
  </r>
  <r>
    <n v="388"/>
    <n v="253"/>
    <d v="2025-01-22T00:00:00"/>
    <s v="Mañana"/>
    <s v="M1"/>
    <x v="1"/>
    <n v="5"/>
  </r>
  <r>
    <n v="389"/>
    <n v="253"/>
    <d v="2025-01-22T00:00:00"/>
    <s v="Mañana"/>
    <s v="M1"/>
    <x v="1"/>
    <n v="13"/>
  </r>
  <r>
    <n v="390"/>
    <n v="254"/>
    <d v="2025-01-22T00:00:00"/>
    <s v="Mañana"/>
    <s v="M2"/>
    <x v="0"/>
    <n v="39"/>
  </r>
  <r>
    <n v="391"/>
    <n v="254"/>
    <d v="2025-01-22T00:00:00"/>
    <s v="Mañana"/>
    <s v="M2"/>
    <x v="2"/>
    <n v="16"/>
  </r>
  <r>
    <n v="392"/>
    <n v="255"/>
    <d v="2025-01-22T00:00:00"/>
    <s v="Mañana"/>
    <s v="M3"/>
    <x v="5"/>
    <n v="10"/>
  </r>
  <r>
    <n v="393"/>
    <n v="256"/>
    <d v="2025-01-22T00:00:00"/>
    <s v="Mañana"/>
    <s v="M4"/>
    <x v="5"/>
    <n v="10"/>
  </r>
  <r>
    <n v="394"/>
    <n v="256"/>
    <d v="2025-01-22T00:00:00"/>
    <s v="Mañana"/>
    <s v="M4"/>
    <x v="2"/>
    <n v="5"/>
  </r>
  <r>
    <n v="395"/>
    <n v="258"/>
    <d v="2025-01-22T00:00:00"/>
    <s v="Tarde"/>
    <s v="M2"/>
    <x v="1"/>
    <n v="46"/>
  </r>
  <r>
    <n v="396"/>
    <n v="258"/>
    <d v="2025-01-22T00:00:00"/>
    <s v="Tarde"/>
    <s v="M2"/>
    <x v="0"/>
    <n v="23"/>
  </r>
  <r>
    <n v="397"/>
    <n v="258"/>
    <d v="2025-01-22T00:00:00"/>
    <s v="Tarde"/>
    <s v="M2"/>
    <x v="5"/>
    <n v="7"/>
  </r>
  <r>
    <n v="398"/>
    <n v="258"/>
    <d v="2025-01-22T00:00:00"/>
    <s v="Tarde"/>
    <s v="M2"/>
    <x v="2"/>
    <n v="17"/>
  </r>
  <r>
    <n v="399"/>
    <n v="259"/>
    <d v="2025-01-22T00:00:00"/>
    <s v="Tarde"/>
    <s v="M3"/>
    <x v="0"/>
    <n v="80"/>
  </r>
  <r>
    <n v="400"/>
    <n v="260"/>
    <d v="2025-01-22T00:00:00"/>
    <s v="Tarde"/>
    <s v="M4"/>
    <x v="2"/>
    <n v="41"/>
  </r>
  <r>
    <n v="401"/>
    <n v="260"/>
    <d v="2025-01-22T00:00:00"/>
    <s v="Tarde"/>
    <s v="M4"/>
    <x v="5"/>
    <n v="5"/>
  </r>
  <r>
    <n v="402"/>
    <n v="261"/>
    <d v="2025-01-22T00:00:00"/>
    <s v="Noche"/>
    <s v="M1"/>
    <x v="0"/>
    <n v="58"/>
  </r>
  <r>
    <n v="403"/>
    <n v="262"/>
    <d v="2025-01-22T00:00:00"/>
    <s v="Noche"/>
    <s v="M2"/>
    <x v="1"/>
    <n v="5"/>
  </r>
  <r>
    <n v="404"/>
    <n v="262"/>
    <d v="2025-01-22T00:00:00"/>
    <s v="Noche"/>
    <s v="M2"/>
    <x v="5"/>
    <n v="16"/>
  </r>
  <r>
    <n v="405"/>
    <n v="264"/>
    <d v="2025-01-22T00:00:00"/>
    <s v="Noche"/>
    <s v="M4"/>
    <x v="0"/>
    <n v="64"/>
  </r>
  <r>
    <n v="406"/>
    <n v="264"/>
    <d v="2025-01-22T00:00:00"/>
    <s v="Noche"/>
    <s v="M4"/>
    <x v="2"/>
    <n v="29"/>
  </r>
  <r>
    <n v="407"/>
    <n v="267"/>
    <d v="2025-01-23T00:00:00"/>
    <s v="Mañana"/>
    <s v="M3"/>
    <x v="1"/>
    <n v="99"/>
  </r>
  <r>
    <n v="408"/>
    <n v="267"/>
    <d v="2025-01-23T00:00:00"/>
    <s v="Mañana"/>
    <s v="M3"/>
    <x v="2"/>
    <n v="55"/>
  </r>
  <r>
    <n v="409"/>
    <n v="268"/>
    <d v="2025-01-23T00:00:00"/>
    <s v="Mañana"/>
    <s v="M4"/>
    <x v="3"/>
    <n v="17"/>
  </r>
  <r>
    <n v="410"/>
    <n v="269"/>
    <d v="2025-01-23T00:00:00"/>
    <s v="Tarde"/>
    <s v="M1"/>
    <x v="0"/>
    <n v="5"/>
  </r>
  <r>
    <n v="411"/>
    <n v="269"/>
    <d v="2025-01-23T00:00:00"/>
    <s v="Tarde"/>
    <s v="M1"/>
    <x v="0"/>
    <n v="11"/>
  </r>
  <r>
    <n v="412"/>
    <n v="269"/>
    <d v="2025-01-23T00:00:00"/>
    <s v="Tarde"/>
    <s v="M1"/>
    <x v="0"/>
    <n v="85"/>
  </r>
  <r>
    <n v="413"/>
    <n v="274"/>
    <d v="2025-01-23T00:00:00"/>
    <s v="Noche"/>
    <s v="M2"/>
    <x v="1"/>
    <n v="23"/>
  </r>
  <r>
    <n v="414"/>
    <n v="274"/>
    <d v="2025-01-23T00:00:00"/>
    <s v="Noche"/>
    <s v="M2"/>
    <x v="0"/>
    <n v="32"/>
  </r>
  <r>
    <n v="415"/>
    <n v="276"/>
    <d v="2025-01-23T00:00:00"/>
    <s v="Noche"/>
    <s v="M4"/>
    <x v="0"/>
    <n v="63"/>
  </r>
  <r>
    <n v="416"/>
    <n v="277"/>
    <d v="2025-01-24T00:00:00"/>
    <s v="Mañana"/>
    <s v="M1"/>
    <x v="2"/>
    <n v="83"/>
  </r>
  <r>
    <n v="417"/>
    <n v="277"/>
    <d v="2025-01-24T00:00:00"/>
    <s v="Mañana"/>
    <s v="M1"/>
    <x v="5"/>
    <n v="5"/>
  </r>
  <r>
    <n v="418"/>
    <n v="277"/>
    <d v="2025-01-24T00:00:00"/>
    <s v="Mañana"/>
    <s v="M1"/>
    <x v="0"/>
    <n v="28"/>
  </r>
  <r>
    <n v="419"/>
    <n v="278"/>
    <d v="2025-01-24T00:00:00"/>
    <s v="Mañana"/>
    <s v="M2"/>
    <x v="1"/>
    <n v="51"/>
  </r>
  <r>
    <n v="420"/>
    <n v="279"/>
    <d v="2025-01-24T00:00:00"/>
    <s v="Mañana"/>
    <s v="M3"/>
    <x v="2"/>
    <n v="6"/>
  </r>
  <r>
    <n v="421"/>
    <n v="280"/>
    <d v="2025-01-24T00:00:00"/>
    <s v="Mañana"/>
    <s v="M4"/>
    <x v="4"/>
    <n v="19"/>
  </r>
  <r>
    <n v="422"/>
    <n v="280"/>
    <d v="2025-01-24T00:00:00"/>
    <s v="Mañana"/>
    <s v="M4"/>
    <x v="0"/>
    <n v="53"/>
  </r>
  <r>
    <n v="423"/>
    <n v="281"/>
    <d v="2025-01-24T00:00:00"/>
    <s v="Tarde"/>
    <s v="M1"/>
    <x v="3"/>
    <n v="9"/>
  </r>
  <r>
    <n v="424"/>
    <n v="281"/>
    <d v="2025-01-24T00:00:00"/>
    <s v="Tarde"/>
    <s v="M1"/>
    <x v="0"/>
    <n v="9"/>
  </r>
  <r>
    <n v="425"/>
    <n v="284"/>
    <d v="2025-01-24T00:00:00"/>
    <s v="Tarde"/>
    <s v="M4"/>
    <x v="3"/>
    <n v="66"/>
  </r>
  <r>
    <n v="426"/>
    <n v="284"/>
    <d v="2025-01-24T00:00:00"/>
    <s v="Tarde"/>
    <s v="M4"/>
    <x v="1"/>
    <n v="5"/>
  </r>
  <r>
    <n v="427"/>
    <n v="286"/>
    <d v="2025-01-24T00:00:00"/>
    <s v="Noche"/>
    <s v="M2"/>
    <x v="1"/>
    <n v="6"/>
  </r>
  <r>
    <n v="428"/>
    <n v="286"/>
    <d v="2025-01-24T00:00:00"/>
    <s v="Noche"/>
    <s v="M2"/>
    <x v="4"/>
    <n v="42"/>
  </r>
  <r>
    <n v="429"/>
    <n v="286"/>
    <d v="2025-01-24T00:00:00"/>
    <s v="Noche"/>
    <s v="M2"/>
    <x v="2"/>
    <n v="24"/>
  </r>
  <r>
    <n v="430"/>
    <n v="287"/>
    <d v="2025-01-24T00:00:00"/>
    <s v="Noche"/>
    <s v="M3"/>
    <x v="2"/>
    <n v="35"/>
  </r>
  <r>
    <n v="431"/>
    <n v="287"/>
    <d v="2025-01-24T00:00:00"/>
    <s v="Noche"/>
    <s v="M3"/>
    <x v="0"/>
    <n v="8"/>
  </r>
  <r>
    <n v="432"/>
    <n v="289"/>
    <d v="2025-01-25T00:00:00"/>
    <s v="Mañana"/>
    <s v="M1"/>
    <x v="1"/>
    <n v="31"/>
  </r>
  <r>
    <n v="433"/>
    <n v="290"/>
    <d v="2025-01-25T00:00:00"/>
    <s v="Mañana"/>
    <s v="M2"/>
    <x v="1"/>
    <n v="11"/>
  </r>
  <r>
    <n v="434"/>
    <n v="290"/>
    <d v="2025-01-25T00:00:00"/>
    <s v="Mañana"/>
    <s v="M2"/>
    <x v="1"/>
    <n v="5"/>
  </r>
  <r>
    <n v="435"/>
    <n v="290"/>
    <d v="2025-01-25T00:00:00"/>
    <s v="Mañana"/>
    <s v="M2"/>
    <x v="0"/>
    <n v="87"/>
  </r>
  <r>
    <n v="436"/>
    <n v="290"/>
    <d v="2025-01-25T00:00:00"/>
    <s v="Mañana"/>
    <s v="M2"/>
    <x v="0"/>
    <n v="81"/>
  </r>
  <r>
    <n v="437"/>
    <n v="291"/>
    <d v="2025-01-25T00:00:00"/>
    <s v="Mañana"/>
    <s v="M3"/>
    <x v="0"/>
    <n v="5"/>
  </r>
  <r>
    <n v="438"/>
    <n v="291"/>
    <d v="2025-01-25T00:00:00"/>
    <s v="Mañana"/>
    <s v="M3"/>
    <x v="0"/>
    <n v="47"/>
  </r>
  <r>
    <n v="439"/>
    <n v="292"/>
    <d v="2025-01-25T00:00:00"/>
    <s v="Mañana"/>
    <s v="M4"/>
    <x v="4"/>
    <n v="27"/>
  </r>
  <r>
    <n v="440"/>
    <n v="292"/>
    <d v="2025-01-25T00:00:00"/>
    <s v="Mañana"/>
    <s v="M4"/>
    <x v="2"/>
    <n v="5"/>
  </r>
  <r>
    <n v="441"/>
    <n v="292"/>
    <d v="2025-01-25T00:00:00"/>
    <s v="Mañana"/>
    <s v="M4"/>
    <x v="2"/>
    <n v="12"/>
  </r>
  <r>
    <n v="442"/>
    <n v="293"/>
    <d v="2025-01-25T00:00:00"/>
    <s v="Tarde"/>
    <s v="M1"/>
    <x v="2"/>
    <n v="5"/>
  </r>
  <r>
    <n v="443"/>
    <n v="293"/>
    <d v="2025-01-25T00:00:00"/>
    <s v="Tarde"/>
    <s v="M1"/>
    <x v="1"/>
    <n v="75"/>
  </r>
  <r>
    <n v="444"/>
    <n v="294"/>
    <d v="2025-01-25T00:00:00"/>
    <s v="Tarde"/>
    <s v="M2"/>
    <x v="5"/>
    <n v="5"/>
  </r>
  <r>
    <n v="445"/>
    <n v="294"/>
    <d v="2025-01-25T00:00:00"/>
    <s v="Tarde"/>
    <s v="M2"/>
    <x v="3"/>
    <n v="77"/>
  </r>
  <r>
    <n v="446"/>
    <n v="295"/>
    <d v="2025-01-25T00:00:00"/>
    <s v="Tarde"/>
    <s v="M3"/>
    <x v="1"/>
    <n v="23"/>
  </r>
  <r>
    <n v="447"/>
    <n v="295"/>
    <d v="2025-01-25T00:00:00"/>
    <s v="Tarde"/>
    <s v="M3"/>
    <x v="0"/>
    <n v="12"/>
  </r>
  <r>
    <n v="448"/>
    <n v="296"/>
    <d v="2025-01-25T00:00:00"/>
    <s v="Tarde"/>
    <s v="M4"/>
    <x v="0"/>
    <n v="16"/>
  </r>
  <r>
    <n v="449"/>
    <n v="297"/>
    <d v="2025-01-25T00:00:00"/>
    <s v="Noche"/>
    <s v="M1"/>
    <x v="0"/>
    <n v="12"/>
  </r>
  <r>
    <n v="450"/>
    <n v="297"/>
    <d v="2025-01-25T00:00:00"/>
    <s v="Noche"/>
    <s v="M1"/>
    <x v="5"/>
    <n v="5"/>
  </r>
  <r>
    <n v="451"/>
    <n v="297"/>
    <d v="2025-01-25T00:00:00"/>
    <s v="Noche"/>
    <s v="M1"/>
    <x v="2"/>
    <n v="107"/>
  </r>
  <r>
    <n v="452"/>
    <n v="297"/>
    <d v="2025-01-25T00:00:00"/>
    <s v="Noche"/>
    <s v="M1"/>
    <x v="4"/>
    <n v="18"/>
  </r>
  <r>
    <n v="453"/>
    <n v="297"/>
    <d v="2025-01-25T00:00:00"/>
    <s v="Noche"/>
    <s v="M1"/>
    <x v="0"/>
    <n v="80"/>
  </r>
  <r>
    <n v="454"/>
    <n v="299"/>
    <d v="2025-01-25T00:00:00"/>
    <s v="Noche"/>
    <s v="M3"/>
    <x v="2"/>
    <n v="7"/>
  </r>
  <r>
    <n v="455"/>
    <n v="299"/>
    <d v="2025-01-25T00:00:00"/>
    <s v="Noche"/>
    <s v="M3"/>
    <x v="2"/>
    <n v="29"/>
  </r>
  <r>
    <n v="456"/>
    <n v="299"/>
    <d v="2025-01-25T00:00:00"/>
    <s v="Noche"/>
    <s v="M3"/>
    <x v="1"/>
    <n v="66"/>
  </r>
  <r>
    <n v="457"/>
    <n v="300"/>
    <d v="2025-01-25T00:00:00"/>
    <s v="Noche"/>
    <s v="M4"/>
    <x v="2"/>
    <n v="5"/>
  </r>
  <r>
    <n v="458"/>
    <n v="300"/>
    <d v="2025-01-25T00:00:00"/>
    <s v="Noche"/>
    <s v="M4"/>
    <x v="2"/>
    <n v="13"/>
  </r>
  <r>
    <n v="459"/>
    <n v="300"/>
    <d v="2025-01-25T00:00:00"/>
    <s v="Noche"/>
    <s v="M4"/>
    <x v="1"/>
    <n v="90"/>
  </r>
  <r>
    <n v="460"/>
    <n v="301"/>
    <d v="2025-01-26T00:00:00"/>
    <s v="Mañana"/>
    <s v="M1"/>
    <x v="0"/>
    <n v="20"/>
  </r>
  <r>
    <n v="461"/>
    <n v="301"/>
    <d v="2025-01-26T00:00:00"/>
    <s v="Mañana"/>
    <s v="M1"/>
    <x v="2"/>
    <n v="5"/>
  </r>
  <r>
    <n v="462"/>
    <n v="302"/>
    <d v="2025-01-26T00:00:00"/>
    <s v="Mañana"/>
    <s v="M2"/>
    <x v="0"/>
    <n v="42"/>
  </r>
  <r>
    <n v="463"/>
    <n v="302"/>
    <d v="2025-01-26T00:00:00"/>
    <s v="Mañana"/>
    <s v="M2"/>
    <x v="0"/>
    <n v="10"/>
  </r>
  <r>
    <n v="464"/>
    <n v="305"/>
    <d v="2025-01-26T00:00:00"/>
    <s v="Tarde"/>
    <s v="M1"/>
    <x v="3"/>
    <n v="30"/>
  </r>
  <r>
    <n v="465"/>
    <n v="305"/>
    <d v="2025-01-26T00:00:00"/>
    <s v="Tarde"/>
    <s v="M1"/>
    <x v="0"/>
    <n v="43"/>
  </r>
  <r>
    <n v="466"/>
    <n v="306"/>
    <d v="2025-01-26T00:00:00"/>
    <s v="Tarde"/>
    <s v="M2"/>
    <x v="1"/>
    <n v="148"/>
  </r>
  <r>
    <n v="467"/>
    <n v="306"/>
    <d v="2025-01-26T00:00:00"/>
    <s v="Tarde"/>
    <s v="M2"/>
    <x v="0"/>
    <n v="14"/>
  </r>
  <r>
    <n v="468"/>
    <n v="307"/>
    <d v="2025-01-26T00:00:00"/>
    <s v="Tarde"/>
    <s v="M3"/>
    <x v="0"/>
    <n v="78"/>
  </r>
  <r>
    <n v="469"/>
    <n v="307"/>
    <d v="2025-01-26T00:00:00"/>
    <s v="Tarde"/>
    <s v="M3"/>
    <x v="3"/>
    <n v="103"/>
  </r>
  <r>
    <n v="470"/>
    <n v="307"/>
    <d v="2025-01-26T00:00:00"/>
    <s v="Tarde"/>
    <s v="M3"/>
    <x v="0"/>
    <n v="45"/>
  </r>
  <r>
    <n v="471"/>
    <n v="310"/>
    <d v="2025-01-26T00:00:00"/>
    <s v="Noche"/>
    <s v="M2"/>
    <x v="2"/>
    <n v="27"/>
  </r>
  <r>
    <n v="472"/>
    <n v="311"/>
    <d v="2025-01-26T00:00:00"/>
    <s v="Noche"/>
    <s v="M3"/>
    <x v="2"/>
    <n v="18"/>
  </r>
  <r>
    <n v="473"/>
    <n v="311"/>
    <d v="2025-01-26T00:00:00"/>
    <s v="Noche"/>
    <s v="M3"/>
    <x v="0"/>
    <n v="45"/>
  </r>
  <r>
    <n v="474"/>
    <n v="311"/>
    <d v="2025-01-26T00:00:00"/>
    <s v="Noche"/>
    <s v="M3"/>
    <x v="4"/>
    <n v="23"/>
  </r>
  <r>
    <n v="475"/>
    <n v="313"/>
    <d v="2025-01-27T00:00:00"/>
    <s v="Mañana"/>
    <s v="M1"/>
    <x v="0"/>
    <n v="24"/>
  </r>
  <r>
    <n v="476"/>
    <n v="314"/>
    <d v="2025-01-27T00:00:00"/>
    <s v="Mañana"/>
    <s v="M2"/>
    <x v="0"/>
    <n v="36"/>
  </r>
  <r>
    <n v="477"/>
    <n v="315"/>
    <d v="2025-01-27T00:00:00"/>
    <s v="Mañana"/>
    <s v="M3"/>
    <x v="1"/>
    <n v="9"/>
  </r>
  <r>
    <n v="478"/>
    <n v="315"/>
    <d v="2025-01-27T00:00:00"/>
    <s v="Mañana"/>
    <s v="M3"/>
    <x v="0"/>
    <n v="70"/>
  </r>
  <r>
    <n v="479"/>
    <n v="315"/>
    <d v="2025-01-27T00:00:00"/>
    <s v="Mañana"/>
    <s v="M3"/>
    <x v="2"/>
    <n v="32"/>
  </r>
  <r>
    <n v="480"/>
    <n v="316"/>
    <d v="2025-01-27T00:00:00"/>
    <s v="Mañana"/>
    <s v="M4"/>
    <x v="2"/>
    <n v="9"/>
  </r>
  <r>
    <n v="481"/>
    <n v="316"/>
    <d v="2025-01-27T00:00:00"/>
    <s v="Mañana"/>
    <s v="M4"/>
    <x v="1"/>
    <n v="36"/>
  </r>
  <r>
    <n v="482"/>
    <n v="318"/>
    <d v="2025-01-27T00:00:00"/>
    <s v="Tarde"/>
    <s v="M2"/>
    <x v="0"/>
    <n v="46"/>
  </r>
  <r>
    <n v="483"/>
    <n v="318"/>
    <d v="2025-01-27T00:00:00"/>
    <s v="Tarde"/>
    <s v="M2"/>
    <x v="1"/>
    <n v="12"/>
  </r>
  <r>
    <n v="484"/>
    <n v="319"/>
    <d v="2025-01-27T00:00:00"/>
    <s v="Tarde"/>
    <s v="M3"/>
    <x v="1"/>
    <n v="13"/>
  </r>
  <r>
    <n v="485"/>
    <n v="320"/>
    <d v="2025-01-27T00:00:00"/>
    <s v="Tarde"/>
    <s v="M4"/>
    <x v="2"/>
    <n v="5"/>
  </r>
  <r>
    <n v="486"/>
    <n v="320"/>
    <d v="2025-01-27T00:00:00"/>
    <s v="Tarde"/>
    <s v="M4"/>
    <x v="2"/>
    <n v="66"/>
  </r>
  <r>
    <n v="487"/>
    <n v="323"/>
    <d v="2025-01-27T00:00:00"/>
    <s v="Noche"/>
    <s v="M3"/>
    <x v="3"/>
    <n v="22"/>
  </r>
  <r>
    <n v="488"/>
    <n v="323"/>
    <d v="2025-01-27T00:00:00"/>
    <s v="Noche"/>
    <s v="M3"/>
    <x v="4"/>
    <n v="23"/>
  </r>
  <r>
    <n v="489"/>
    <n v="324"/>
    <d v="2025-01-27T00:00:00"/>
    <s v="Noche"/>
    <s v="M4"/>
    <x v="2"/>
    <n v="8"/>
  </r>
  <r>
    <n v="490"/>
    <n v="324"/>
    <d v="2025-01-27T00:00:00"/>
    <s v="Noche"/>
    <s v="M4"/>
    <x v="2"/>
    <n v="5"/>
  </r>
  <r>
    <n v="491"/>
    <n v="325"/>
    <d v="2025-01-28T00:00:00"/>
    <s v="Mañana"/>
    <s v="M1"/>
    <x v="0"/>
    <n v="9"/>
  </r>
  <r>
    <n v="492"/>
    <n v="325"/>
    <d v="2025-01-28T00:00:00"/>
    <s v="Mañana"/>
    <s v="M1"/>
    <x v="0"/>
    <n v="18"/>
  </r>
  <r>
    <n v="493"/>
    <n v="325"/>
    <d v="2025-01-28T00:00:00"/>
    <s v="Mañana"/>
    <s v="M1"/>
    <x v="0"/>
    <n v="152"/>
  </r>
  <r>
    <n v="494"/>
    <n v="326"/>
    <d v="2025-01-28T00:00:00"/>
    <s v="Mañana"/>
    <s v="M2"/>
    <x v="2"/>
    <n v="19"/>
  </r>
  <r>
    <n v="495"/>
    <n v="327"/>
    <d v="2025-01-28T00:00:00"/>
    <s v="Mañana"/>
    <s v="M3"/>
    <x v="0"/>
    <n v="22"/>
  </r>
  <r>
    <n v="496"/>
    <n v="327"/>
    <d v="2025-01-28T00:00:00"/>
    <s v="Mañana"/>
    <s v="M3"/>
    <x v="0"/>
    <n v="29"/>
  </r>
  <r>
    <n v="497"/>
    <n v="327"/>
    <d v="2025-01-28T00:00:00"/>
    <s v="Mañana"/>
    <s v="M3"/>
    <x v="2"/>
    <n v="5"/>
  </r>
  <r>
    <n v="498"/>
    <n v="327"/>
    <d v="2025-01-28T00:00:00"/>
    <s v="Mañana"/>
    <s v="M3"/>
    <x v="3"/>
    <n v="144"/>
  </r>
  <r>
    <n v="499"/>
    <n v="328"/>
    <d v="2025-01-28T00:00:00"/>
    <s v="Mañana"/>
    <s v="M4"/>
    <x v="5"/>
    <n v="5"/>
  </r>
  <r>
    <n v="500"/>
    <n v="329"/>
    <d v="2025-01-28T00:00:00"/>
    <s v="Tarde"/>
    <s v="M1"/>
    <x v="2"/>
    <n v="79"/>
  </r>
  <r>
    <n v="501"/>
    <n v="329"/>
    <d v="2025-01-28T00:00:00"/>
    <s v="Tarde"/>
    <s v="M1"/>
    <x v="2"/>
    <n v="39"/>
  </r>
  <r>
    <n v="502"/>
    <n v="330"/>
    <d v="2025-01-28T00:00:00"/>
    <s v="Tarde"/>
    <s v="M2"/>
    <x v="5"/>
    <n v="7"/>
  </r>
  <r>
    <n v="503"/>
    <n v="331"/>
    <d v="2025-01-28T00:00:00"/>
    <s v="Tarde"/>
    <s v="M3"/>
    <x v="5"/>
    <n v="21"/>
  </r>
  <r>
    <n v="504"/>
    <n v="331"/>
    <d v="2025-01-28T00:00:00"/>
    <s v="Tarde"/>
    <s v="M3"/>
    <x v="2"/>
    <n v="62"/>
  </r>
  <r>
    <n v="505"/>
    <n v="331"/>
    <d v="2025-01-28T00:00:00"/>
    <s v="Tarde"/>
    <s v="M3"/>
    <x v="0"/>
    <n v="5"/>
  </r>
  <r>
    <n v="506"/>
    <n v="332"/>
    <d v="2025-01-28T00:00:00"/>
    <s v="Tarde"/>
    <s v="M4"/>
    <x v="4"/>
    <n v="14"/>
  </r>
  <r>
    <n v="507"/>
    <n v="332"/>
    <d v="2025-01-28T00:00:00"/>
    <s v="Tarde"/>
    <s v="M4"/>
    <x v="2"/>
    <n v="19"/>
  </r>
  <r>
    <n v="508"/>
    <n v="333"/>
    <d v="2025-01-28T00:00:00"/>
    <s v="Noche"/>
    <s v="M1"/>
    <x v="0"/>
    <n v="16"/>
  </r>
  <r>
    <n v="509"/>
    <n v="333"/>
    <d v="2025-01-28T00:00:00"/>
    <s v="Noche"/>
    <s v="M1"/>
    <x v="2"/>
    <n v="32"/>
  </r>
  <r>
    <n v="510"/>
    <n v="333"/>
    <d v="2025-01-28T00:00:00"/>
    <s v="Noche"/>
    <s v="M1"/>
    <x v="0"/>
    <n v="10"/>
  </r>
  <r>
    <n v="511"/>
    <n v="334"/>
    <d v="2025-01-28T00:00:00"/>
    <s v="Noche"/>
    <s v="M2"/>
    <x v="0"/>
    <n v="60"/>
  </r>
  <r>
    <n v="512"/>
    <n v="334"/>
    <d v="2025-01-28T00:00:00"/>
    <s v="Noche"/>
    <s v="M2"/>
    <x v="5"/>
    <n v="20"/>
  </r>
  <r>
    <n v="513"/>
    <n v="334"/>
    <d v="2025-01-28T00:00:00"/>
    <s v="Noche"/>
    <s v="M2"/>
    <x v="0"/>
    <n v="63"/>
  </r>
  <r>
    <n v="514"/>
    <n v="335"/>
    <d v="2025-01-28T00:00:00"/>
    <s v="Noche"/>
    <s v="M3"/>
    <x v="2"/>
    <n v="5"/>
  </r>
  <r>
    <n v="515"/>
    <n v="335"/>
    <d v="2025-01-28T00:00:00"/>
    <s v="Noche"/>
    <s v="M3"/>
    <x v="2"/>
    <n v="10"/>
  </r>
  <r>
    <n v="516"/>
    <n v="335"/>
    <d v="2025-01-28T00:00:00"/>
    <s v="Noche"/>
    <s v="M3"/>
    <x v="0"/>
    <n v="19"/>
  </r>
  <r>
    <n v="517"/>
    <n v="336"/>
    <d v="2025-01-28T00:00:00"/>
    <s v="Noche"/>
    <s v="M4"/>
    <x v="3"/>
    <n v="44"/>
  </r>
  <r>
    <n v="518"/>
    <n v="337"/>
    <d v="2025-01-29T00:00:00"/>
    <s v="Mañana"/>
    <s v="M1"/>
    <x v="0"/>
    <n v="23"/>
  </r>
  <r>
    <n v="519"/>
    <n v="337"/>
    <d v="2025-01-29T00:00:00"/>
    <s v="Mañana"/>
    <s v="M1"/>
    <x v="0"/>
    <n v="11"/>
  </r>
  <r>
    <n v="520"/>
    <n v="337"/>
    <d v="2025-01-29T00:00:00"/>
    <s v="Mañana"/>
    <s v="M1"/>
    <x v="0"/>
    <n v="73"/>
  </r>
  <r>
    <n v="521"/>
    <n v="338"/>
    <d v="2025-01-29T00:00:00"/>
    <s v="Mañana"/>
    <s v="M2"/>
    <x v="0"/>
    <n v="46"/>
  </r>
  <r>
    <n v="522"/>
    <n v="338"/>
    <d v="2025-01-29T00:00:00"/>
    <s v="Mañana"/>
    <s v="M2"/>
    <x v="3"/>
    <n v="55"/>
  </r>
  <r>
    <n v="523"/>
    <n v="340"/>
    <d v="2025-01-29T00:00:00"/>
    <s v="Mañana"/>
    <s v="M4"/>
    <x v="0"/>
    <n v="51"/>
  </r>
  <r>
    <n v="524"/>
    <n v="340"/>
    <d v="2025-01-29T00:00:00"/>
    <s v="Mañana"/>
    <s v="M4"/>
    <x v="0"/>
    <n v="56"/>
  </r>
  <r>
    <n v="525"/>
    <n v="341"/>
    <d v="2025-01-29T00:00:00"/>
    <s v="Tarde"/>
    <s v="M1"/>
    <x v="5"/>
    <n v="5"/>
  </r>
  <r>
    <n v="526"/>
    <n v="341"/>
    <d v="2025-01-29T00:00:00"/>
    <s v="Tarde"/>
    <s v="M1"/>
    <x v="2"/>
    <n v="6"/>
  </r>
  <r>
    <n v="527"/>
    <n v="344"/>
    <d v="2025-01-29T00:00:00"/>
    <s v="Tarde"/>
    <s v="M4"/>
    <x v="0"/>
    <n v="82"/>
  </r>
  <r>
    <n v="528"/>
    <n v="345"/>
    <d v="2025-01-29T00:00:00"/>
    <s v="Noche"/>
    <s v="M1"/>
    <x v="2"/>
    <n v="6"/>
  </r>
  <r>
    <n v="529"/>
    <n v="345"/>
    <d v="2025-01-29T00:00:00"/>
    <s v="Noche"/>
    <s v="M1"/>
    <x v="5"/>
    <n v="5"/>
  </r>
  <r>
    <n v="530"/>
    <n v="346"/>
    <d v="2025-01-29T00:00:00"/>
    <s v="Noche"/>
    <s v="M2"/>
    <x v="3"/>
    <n v="5"/>
  </r>
  <r>
    <n v="531"/>
    <n v="346"/>
    <d v="2025-01-29T00:00:00"/>
    <s v="Noche"/>
    <s v="M2"/>
    <x v="1"/>
    <n v="20"/>
  </r>
  <r>
    <n v="532"/>
    <n v="347"/>
    <d v="2025-01-29T00:00:00"/>
    <s v="Noche"/>
    <s v="M3"/>
    <x v="0"/>
    <n v="56"/>
  </r>
  <r>
    <n v="533"/>
    <n v="348"/>
    <d v="2025-01-29T00:00:00"/>
    <s v="Noche"/>
    <s v="M4"/>
    <x v="0"/>
    <n v="68"/>
  </r>
  <r>
    <n v="534"/>
    <n v="348"/>
    <d v="2025-01-29T00:00:00"/>
    <s v="Noche"/>
    <s v="M4"/>
    <x v="1"/>
    <n v="5"/>
  </r>
  <r>
    <n v="535"/>
    <n v="348"/>
    <d v="2025-01-29T00:00:00"/>
    <s v="Noche"/>
    <s v="M4"/>
    <x v="2"/>
    <n v="62"/>
  </r>
  <r>
    <n v="536"/>
    <n v="349"/>
    <d v="2025-01-30T00:00:00"/>
    <s v="Mañana"/>
    <s v="M1"/>
    <x v="2"/>
    <n v="9"/>
  </r>
  <r>
    <n v="537"/>
    <n v="350"/>
    <d v="2025-01-30T00:00:00"/>
    <s v="Mañana"/>
    <s v="M2"/>
    <x v="1"/>
    <n v="19"/>
  </r>
  <r>
    <n v="538"/>
    <n v="350"/>
    <d v="2025-01-30T00:00:00"/>
    <s v="Mañana"/>
    <s v="M2"/>
    <x v="4"/>
    <n v="6"/>
  </r>
  <r>
    <n v="539"/>
    <n v="350"/>
    <d v="2025-01-30T00:00:00"/>
    <s v="Mañana"/>
    <s v="M2"/>
    <x v="1"/>
    <n v="28"/>
  </r>
  <r>
    <n v="540"/>
    <n v="351"/>
    <d v="2025-01-30T00:00:00"/>
    <s v="Mañana"/>
    <s v="M3"/>
    <x v="1"/>
    <n v="15"/>
  </r>
  <r>
    <n v="541"/>
    <n v="351"/>
    <d v="2025-01-30T00:00:00"/>
    <s v="Mañana"/>
    <s v="M3"/>
    <x v="1"/>
    <n v="6"/>
  </r>
  <r>
    <n v="542"/>
    <n v="352"/>
    <d v="2025-01-30T00:00:00"/>
    <s v="Mañana"/>
    <s v="M4"/>
    <x v="0"/>
    <n v="32"/>
  </r>
  <r>
    <n v="543"/>
    <n v="355"/>
    <d v="2025-01-30T00:00:00"/>
    <s v="Tarde"/>
    <s v="M3"/>
    <x v="2"/>
    <n v="18"/>
  </r>
  <r>
    <n v="544"/>
    <n v="356"/>
    <d v="2025-01-30T00:00:00"/>
    <s v="Tarde"/>
    <s v="M4"/>
    <x v="5"/>
    <n v="22"/>
  </r>
  <r>
    <n v="545"/>
    <n v="356"/>
    <d v="2025-01-30T00:00:00"/>
    <s v="Tarde"/>
    <s v="M4"/>
    <x v="2"/>
    <n v="74"/>
  </r>
  <r>
    <n v="546"/>
    <n v="356"/>
    <d v="2025-01-30T00:00:00"/>
    <s v="Tarde"/>
    <s v="M4"/>
    <x v="0"/>
    <n v="5"/>
  </r>
  <r>
    <n v="547"/>
    <n v="358"/>
    <d v="2025-01-30T00:00:00"/>
    <s v="Noche"/>
    <s v="M2"/>
    <x v="0"/>
    <n v="20"/>
  </r>
  <r>
    <n v="548"/>
    <n v="358"/>
    <d v="2025-01-30T00:00:00"/>
    <s v="Noche"/>
    <s v="M2"/>
    <x v="0"/>
    <n v="16"/>
  </r>
  <r>
    <n v="549"/>
    <n v="359"/>
    <d v="2025-01-30T00:00:00"/>
    <s v="Noche"/>
    <s v="M3"/>
    <x v="4"/>
    <n v="38"/>
  </r>
  <r>
    <n v="550"/>
    <n v="360"/>
    <d v="2025-01-30T00:00:00"/>
    <s v="Noche"/>
    <s v="M4"/>
    <x v="0"/>
    <n v="11"/>
  </r>
  <r>
    <n v="551"/>
    <n v="361"/>
    <d v="2025-01-31T00:00:00"/>
    <s v="Mañana"/>
    <s v="M1"/>
    <x v="3"/>
    <n v="171"/>
  </r>
  <r>
    <n v="552"/>
    <n v="361"/>
    <d v="2025-01-31T00:00:00"/>
    <s v="Mañana"/>
    <s v="M1"/>
    <x v="5"/>
    <n v="71"/>
  </r>
  <r>
    <n v="553"/>
    <n v="364"/>
    <d v="2025-01-31T00:00:00"/>
    <s v="Mañana"/>
    <s v="M4"/>
    <x v="5"/>
    <n v="15"/>
  </r>
  <r>
    <n v="554"/>
    <n v="364"/>
    <d v="2025-01-31T00:00:00"/>
    <s v="Mañana"/>
    <s v="M4"/>
    <x v="2"/>
    <n v="22"/>
  </r>
  <r>
    <n v="555"/>
    <n v="365"/>
    <d v="2025-01-31T00:00:00"/>
    <s v="Tarde"/>
    <s v="M1"/>
    <x v="4"/>
    <n v="30"/>
  </r>
  <r>
    <n v="556"/>
    <n v="365"/>
    <d v="2025-01-31T00:00:00"/>
    <s v="Tarde"/>
    <s v="M1"/>
    <x v="0"/>
    <n v="7"/>
  </r>
  <r>
    <n v="557"/>
    <n v="366"/>
    <d v="2025-01-31T00:00:00"/>
    <s v="Tarde"/>
    <s v="M2"/>
    <x v="3"/>
    <n v="45"/>
  </r>
  <r>
    <n v="558"/>
    <n v="367"/>
    <d v="2025-01-31T00:00:00"/>
    <s v="Tarde"/>
    <s v="M3"/>
    <x v="0"/>
    <n v="74"/>
  </r>
  <r>
    <n v="559"/>
    <n v="368"/>
    <d v="2025-01-31T00:00:00"/>
    <s v="Tarde"/>
    <s v="M4"/>
    <x v="0"/>
    <n v="26"/>
  </r>
  <r>
    <n v="560"/>
    <n v="369"/>
    <d v="2025-01-31T00:00:00"/>
    <s v="Noche"/>
    <s v="M1"/>
    <x v="3"/>
    <n v="13"/>
  </r>
  <r>
    <n v="561"/>
    <n v="369"/>
    <d v="2025-01-31T00:00:00"/>
    <s v="Noche"/>
    <s v="M1"/>
    <x v="3"/>
    <n v="315"/>
  </r>
  <r>
    <n v="562"/>
    <n v="369"/>
    <d v="2025-01-31T00:00:00"/>
    <s v="Noche"/>
    <s v="M1"/>
    <x v="1"/>
    <n v="119"/>
  </r>
  <r>
    <n v="563"/>
    <n v="369"/>
    <d v="2025-01-31T00:00:00"/>
    <s v="Noche"/>
    <s v="M1"/>
    <x v="2"/>
    <n v="6"/>
  </r>
  <r>
    <n v="564"/>
    <n v="372"/>
    <d v="2025-01-31T00:00:00"/>
    <s v="Noche"/>
    <s v="M4"/>
    <x v="2"/>
    <n v="25"/>
  </r>
  <r>
    <n v="565"/>
    <n v="372"/>
    <d v="2025-01-31T00:00:00"/>
    <s v="Noche"/>
    <s v="M4"/>
    <x v="0"/>
    <n v="46"/>
  </r>
  <r>
    <n v="566"/>
    <n v="372"/>
    <d v="2025-01-31T00:00:00"/>
    <s v="Noche"/>
    <s v="M4"/>
    <x v="1"/>
    <n v="5"/>
  </r>
  <r>
    <n v="567"/>
    <n v="372"/>
    <d v="2025-01-31T00:00:00"/>
    <s v="Noche"/>
    <s v="M4"/>
    <x v="2"/>
    <n v="29"/>
  </r>
  <r>
    <n v="568"/>
    <n v="372"/>
    <d v="2025-01-31T00:00:00"/>
    <s v="Noche"/>
    <s v="M4"/>
    <x v="2"/>
    <n v="5"/>
  </r>
  <r>
    <n v="569"/>
    <n v="373"/>
    <d v="2025-02-01T00:00:00"/>
    <s v="Mañana"/>
    <s v="M1"/>
    <x v="1"/>
    <n v="7"/>
  </r>
  <r>
    <n v="570"/>
    <n v="374"/>
    <d v="2025-02-01T00:00:00"/>
    <s v="Mañana"/>
    <s v="M2"/>
    <x v="2"/>
    <n v="5"/>
  </r>
  <r>
    <n v="571"/>
    <n v="376"/>
    <d v="2025-02-01T00:00:00"/>
    <s v="Mañana"/>
    <s v="M4"/>
    <x v="5"/>
    <n v="6"/>
  </r>
  <r>
    <n v="572"/>
    <n v="376"/>
    <d v="2025-02-01T00:00:00"/>
    <s v="Mañana"/>
    <s v="M4"/>
    <x v="2"/>
    <n v="28"/>
  </r>
  <r>
    <n v="573"/>
    <n v="377"/>
    <d v="2025-02-01T00:00:00"/>
    <s v="Tarde"/>
    <s v="M1"/>
    <x v="5"/>
    <n v="5"/>
  </r>
  <r>
    <n v="574"/>
    <n v="378"/>
    <d v="2025-02-01T00:00:00"/>
    <s v="Tarde"/>
    <s v="M2"/>
    <x v="0"/>
    <n v="112"/>
  </r>
  <r>
    <n v="575"/>
    <n v="381"/>
    <d v="2025-02-01T00:00:00"/>
    <s v="Noche"/>
    <s v="M1"/>
    <x v="2"/>
    <n v="28"/>
  </r>
  <r>
    <n v="576"/>
    <n v="381"/>
    <d v="2025-02-01T00:00:00"/>
    <s v="Noche"/>
    <s v="M1"/>
    <x v="0"/>
    <n v="19"/>
  </r>
  <r>
    <n v="577"/>
    <n v="381"/>
    <d v="2025-02-01T00:00:00"/>
    <s v="Noche"/>
    <s v="M1"/>
    <x v="4"/>
    <n v="73"/>
  </r>
  <r>
    <n v="578"/>
    <n v="382"/>
    <d v="2025-02-01T00:00:00"/>
    <s v="Noche"/>
    <s v="M2"/>
    <x v="0"/>
    <n v="40"/>
  </r>
  <r>
    <n v="579"/>
    <n v="382"/>
    <d v="2025-02-01T00:00:00"/>
    <s v="Noche"/>
    <s v="M2"/>
    <x v="0"/>
    <n v="18"/>
  </r>
  <r>
    <n v="580"/>
    <n v="384"/>
    <d v="2025-02-01T00:00:00"/>
    <s v="Noche"/>
    <s v="M4"/>
    <x v="5"/>
    <n v="27"/>
  </r>
  <r>
    <n v="581"/>
    <n v="385"/>
    <d v="2025-02-02T00:00:00"/>
    <s v="Mañana"/>
    <s v="M1"/>
    <x v="4"/>
    <n v="19"/>
  </r>
  <r>
    <n v="582"/>
    <n v="385"/>
    <d v="2025-02-02T00:00:00"/>
    <s v="Mañana"/>
    <s v="M1"/>
    <x v="0"/>
    <n v="24"/>
  </r>
  <r>
    <n v="583"/>
    <n v="386"/>
    <d v="2025-02-02T00:00:00"/>
    <s v="Mañana"/>
    <s v="M2"/>
    <x v="2"/>
    <n v="14"/>
  </r>
  <r>
    <n v="584"/>
    <n v="387"/>
    <d v="2025-02-02T00:00:00"/>
    <s v="Mañana"/>
    <s v="M3"/>
    <x v="0"/>
    <n v="11"/>
  </r>
  <r>
    <n v="585"/>
    <n v="388"/>
    <d v="2025-02-02T00:00:00"/>
    <s v="Mañana"/>
    <s v="M4"/>
    <x v="1"/>
    <n v="40"/>
  </r>
  <r>
    <n v="586"/>
    <n v="389"/>
    <d v="2025-02-02T00:00:00"/>
    <s v="Tarde"/>
    <s v="M1"/>
    <x v="1"/>
    <n v="50"/>
  </r>
  <r>
    <n v="587"/>
    <n v="390"/>
    <d v="2025-02-02T00:00:00"/>
    <s v="Tarde"/>
    <s v="M2"/>
    <x v="2"/>
    <n v="21"/>
  </r>
  <r>
    <n v="588"/>
    <n v="390"/>
    <d v="2025-02-02T00:00:00"/>
    <s v="Tarde"/>
    <s v="M2"/>
    <x v="0"/>
    <n v="35"/>
  </r>
  <r>
    <n v="589"/>
    <n v="390"/>
    <d v="2025-02-02T00:00:00"/>
    <s v="Tarde"/>
    <s v="M2"/>
    <x v="1"/>
    <n v="5"/>
  </r>
  <r>
    <n v="590"/>
    <n v="390"/>
    <d v="2025-02-02T00:00:00"/>
    <s v="Tarde"/>
    <s v="M2"/>
    <x v="5"/>
    <n v="13"/>
  </r>
  <r>
    <n v="591"/>
    <n v="391"/>
    <d v="2025-02-02T00:00:00"/>
    <s v="Tarde"/>
    <s v="M3"/>
    <x v="0"/>
    <n v="56"/>
  </r>
  <r>
    <n v="592"/>
    <n v="392"/>
    <d v="2025-02-02T00:00:00"/>
    <s v="Tarde"/>
    <s v="M4"/>
    <x v="3"/>
    <n v="105"/>
  </r>
  <r>
    <n v="593"/>
    <n v="392"/>
    <d v="2025-02-02T00:00:00"/>
    <s v="Tarde"/>
    <s v="M4"/>
    <x v="1"/>
    <n v="37"/>
  </r>
  <r>
    <n v="594"/>
    <n v="393"/>
    <d v="2025-02-02T00:00:00"/>
    <s v="Noche"/>
    <s v="M1"/>
    <x v="5"/>
    <n v="5"/>
  </r>
  <r>
    <n v="595"/>
    <n v="393"/>
    <d v="2025-02-02T00:00:00"/>
    <s v="Noche"/>
    <s v="M1"/>
    <x v="0"/>
    <n v="18"/>
  </r>
  <r>
    <n v="596"/>
    <n v="393"/>
    <d v="2025-02-02T00:00:00"/>
    <s v="Noche"/>
    <s v="M1"/>
    <x v="3"/>
    <n v="116"/>
  </r>
  <r>
    <n v="597"/>
    <n v="394"/>
    <d v="2025-02-02T00:00:00"/>
    <s v="Noche"/>
    <s v="M2"/>
    <x v="0"/>
    <n v="69"/>
  </r>
  <r>
    <n v="598"/>
    <n v="394"/>
    <d v="2025-02-02T00:00:00"/>
    <s v="Noche"/>
    <s v="M2"/>
    <x v="1"/>
    <n v="14"/>
  </r>
  <r>
    <n v="599"/>
    <n v="394"/>
    <d v="2025-02-02T00:00:00"/>
    <s v="Noche"/>
    <s v="M2"/>
    <x v="0"/>
    <n v="82"/>
  </r>
  <r>
    <n v="600"/>
    <n v="395"/>
    <d v="2025-02-02T00:00:00"/>
    <s v="Noche"/>
    <s v="M3"/>
    <x v="1"/>
    <n v="50"/>
  </r>
  <r>
    <n v="601"/>
    <n v="395"/>
    <d v="2025-02-02T00:00:00"/>
    <s v="Noche"/>
    <s v="M3"/>
    <x v="2"/>
    <n v="68"/>
  </r>
  <r>
    <n v="602"/>
    <n v="396"/>
    <d v="2025-02-02T00:00:00"/>
    <s v="Noche"/>
    <s v="M4"/>
    <x v="5"/>
    <n v="12"/>
  </r>
  <r>
    <n v="603"/>
    <n v="396"/>
    <d v="2025-02-02T00:00:00"/>
    <s v="Noche"/>
    <s v="M4"/>
    <x v="2"/>
    <n v="5"/>
  </r>
  <r>
    <n v="604"/>
    <n v="397"/>
    <d v="2025-02-03T00:00:00"/>
    <s v="Mañana"/>
    <s v="M1"/>
    <x v="4"/>
    <n v="27"/>
  </r>
  <r>
    <n v="605"/>
    <n v="398"/>
    <d v="2025-02-03T00:00:00"/>
    <s v="Mañana"/>
    <s v="M2"/>
    <x v="1"/>
    <n v="5"/>
  </r>
  <r>
    <n v="606"/>
    <n v="398"/>
    <d v="2025-02-03T00:00:00"/>
    <s v="Mañana"/>
    <s v="M2"/>
    <x v="2"/>
    <n v="6"/>
  </r>
  <r>
    <n v="607"/>
    <n v="398"/>
    <d v="2025-02-03T00:00:00"/>
    <s v="Mañana"/>
    <s v="M2"/>
    <x v="0"/>
    <n v="19"/>
  </r>
  <r>
    <n v="608"/>
    <n v="398"/>
    <d v="2025-02-03T00:00:00"/>
    <s v="Mañana"/>
    <s v="M2"/>
    <x v="1"/>
    <n v="12"/>
  </r>
  <r>
    <n v="609"/>
    <n v="400"/>
    <d v="2025-02-03T00:00:00"/>
    <s v="Mañana"/>
    <s v="M4"/>
    <x v="0"/>
    <n v="21"/>
  </r>
  <r>
    <n v="610"/>
    <n v="400"/>
    <d v="2025-02-03T00:00:00"/>
    <s v="Mañana"/>
    <s v="M4"/>
    <x v="3"/>
    <n v="61"/>
  </r>
  <r>
    <n v="611"/>
    <n v="403"/>
    <d v="2025-02-03T00:00:00"/>
    <s v="Tarde"/>
    <s v="M3"/>
    <x v="2"/>
    <n v="5"/>
  </r>
  <r>
    <n v="612"/>
    <n v="403"/>
    <d v="2025-02-03T00:00:00"/>
    <s v="Tarde"/>
    <s v="M3"/>
    <x v="3"/>
    <n v="7"/>
  </r>
  <r>
    <n v="613"/>
    <n v="404"/>
    <d v="2025-02-03T00:00:00"/>
    <s v="Tarde"/>
    <s v="M4"/>
    <x v="2"/>
    <n v="6"/>
  </r>
  <r>
    <n v="614"/>
    <n v="404"/>
    <d v="2025-02-03T00:00:00"/>
    <s v="Tarde"/>
    <s v="M4"/>
    <x v="0"/>
    <n v="29"/>
  </r>
  <r>
    <n v="615"/>
    <n v="405"/>
    <d v="2025-02-03T00:00:00"/>
    <s v="Noche"/>
    <s v="M1"/>
    <x v="0"/>
    <n v="136"/>
  </r>
  <r>
    <n v="616"/>
    <n v="405"/>
    <d v="2025-02-03T00:00:00"/>
    <s v="Noche"/>
    <s v="M1"/>
    <x v="0"/>
    <n v="5"/>
  </r>
  <r>
    <n v="617"/>
    <n v="405"/>
    <d v="2025-02-03T00:00:00"/>
    <s v="Noche"/>
    <s v="M1"/>
    <x v="2"/>
    <n v="19"/>
  </r>
  <r>
    <n v="618"/>
    <n v="407"/>
    <d v="2025-02-03T00:00:00"/>
    <s v="Noche"/>
    <s v="M3"/>
    <x v="0"/>
    <n v="40"/>
  </r>
  <r>
    <n v="619"/>
    <n v="407"/>
    <d v="2025-02-03T00:00:00"/>
    <s v="Noche"/>
    <s v="M3"/>
    <x v="4"/>
    <n v="73"/>
  </r>
  <r>
    <n v="620"/>
    <n v="407"/>
    <d v="2025-02-03T00:00:00"/>
    <s v="Noche"/>
    <s v="M3"/>
    <x v="0"/>
    <n v="7"/>
  </r>
  <r>
    <n v="621"/>
    <n v="408"/>
    <d v="2025-02-03T00:00:00"/>
    <s v="Noche"/>
    <s v="M4"/>
    <x v="2"/>
    <n v="24"/>
  </r>
  <r>
    <n v="622"/>
    <n v="410"/>
    <d v="2025-02-04T00:00:00"/>
    <s v="Mañana"/>
    <s v="M2"/>
    <x v="5"/>
    <n v="5"/>
  </r>
  <r>
    <n v="623"/>
    <n v="410"/>
    <d v="2025-02-04T00:00:00"/>
    <s v="Mañana"/>
    <s v="M2"/>
    <x v="1"/>
    <n v="113"/>
  </r>
  <r>
    <n v="624"/>
    <n v="411"/>
    <d v="2025-02-04T00:00:00"/>
    <s v="Mañana"/>
    <s v="M3"/>
    <x v="1"/>
    <n v="73"/>
  </r>
  <r>
    <n v="625"/>
    <n v="412"/>
    <d v="2025-02-04T00:00:00"/>
    <s v="Mañana"/>
    <s v="M4"/>
    <x v="2"/>
    <n v="19"/>
  </r>
  <r>
    <n v="626"/>
    <n v="412"/>
    <d v="2025-02-04T00:00:00"/>
    <s v="Mañana"/>
    <s v="M4"/>
    <x v="1"/>
    <n v="8"/>
  </r>
  <r>
    <n v="627"/>
    <n v="415"/>
    <d v="2025-02-04T00:00:00"/>
    <s v="Tarde"/>
    <s v="M3"/>
    <x v="0"/>
    <n v="27"/>
  </r>
  <r>
    <n v="628"/>
    <n v="416"/>
    <d v="2025-02-04T00:00:00"/>
    <s v="Tarde"/>
    <s v="M4"/>
    <x v="3"/>
    <n v="109"/>
  </r>
  <r>
    <n v="629"/>
    <n v="417"/>
    <d v="2025-02-04T00:00:00"/>
    <s v="Noche"/>
    <s v="M1"/>
    <x v="1"/>
    <n v="40"/>
  </r>
  <r>
    <n v="630"/>
    <n v="417"/>
    <d v="2025-02-04T00:00:00"/>
    <s v="Noche"/>
    <s v="M1"/>
    <x v="1"/>
    <n v="22"/>
  </r>
  <r>
    <n v="631"/>
    <n v="418"/>
    <d v="2025-02-04T00:00:00"/>
    <s v="Noche"/>
    <s v="M2"/>
    <x v="2"/>
    <n v="45"/>
  </r>
  <r>
    <n v="632"/>
    <n v="418"/>
    <d v="2025-02-04T00:00:00"/>
    <s v="Noche"/>
    <s v="M2"/>
    <x v="1"/>
    <n v="46"/>
  </r>
  <r>
    <n v="633"/>
    <n v="418"/>
    <d v="2025-02-04T00:00:00"/>
    <s v="Noche"/>
    <s v="M2"/>
    <x v="2"/>
    <n v="19"/>
  </r>
  <r>
    <n v="634"/>
    <n v="419"/>
    <d v="2025-02-04T00:00:00"/>
    <s v="Noche"/>
    <s v="M3"/>
    <x v="1"/>
    <n v="82"/>
  </r>
  <r>
    <n v="635"/>
    <n v="420"/>
    <d v="2025-02-04T00:00:00"/>
    <s v="Noche"/>
    <s v="M4"/>
    <x v="0"/>
    <n v="16"/>
  </r>
  <r>
    <n v="636"/>
    <n v="421"/>
    <d v="2025-02-05T00:00:00"/>
    <s v="Mañana"/>
    <s v="M1"/>
    <x v="5"/>
    <n v="7"/>
  </r>
  <r>
    <n v="637"/>
    <n v="421"/>
    <d v="2025-02-05T00:00:00"/>
    <s v="Mañana"/>
    <s v="M1"/>
    <x v="1"/>
    <n v="9"/>
  </r>
  <r>
    <n v="638"/>
    <n v="423"/>
    <d v="2025-02-05T00:00:00"/>
    <s v="Mañana"/>
    <s v="M3"/>
    <x v="0"/>
    <n v="16"/>
  </r>
  <r>
    <n v="639"/>
    <n v="423"/>
    <d v="2025-02-05T00:00:00"/>
    <s v="Mañana"/>
    <s v="M3"/>
    <x v="0"/>
    <n v="32"/>
  </r>
  <r>
    <n v="640"/>
    <n v="423"/>
    <d v="2025-02-05T00:00:00"/>
    <s v="Mañana"/>
    <s v="M3"/>
    <x v="2"/>
    <n v="8"/>
  </r>
  <r>
    <n v="641"/>
    <n v="424"/>
    <d v="2025-02-05T00:00:00"/>
    <s v="Mañana"/>
    <s v="M4"/>
    <x v="3"/>
    <n v="23"/>
  </r>
  <r>
    <n v="642"/>
    <n v="424"/>
    <d v="2025-02-05T00:00:00"/>
    <s v="Mañana"/>
    <s v="M4"/>
    <x v="2"/>
    <n v="14"/>
  </r>
  <r>
    <n v="643"/>
    <n v="426"/>
    <d v="2025-02-05T00:00:00"/>
    <s v="Tarde"/>
    <s v="M2"/>
    <x v="4"/>
    <n v="28"/>
  </r>
  <r>
    <n v="644"/>
    <n v="427"/>
    <d v="2025-02-05T00:00:00"/>
    <s v="Tarde"/>
    <s v="M3"/>
    <x v="0"/>
    <n v="50"/>
  </r>
  <r>
    <n v="645"/>
    <n v="427"/>
    <d v="2025-02-05T00:00:00"/>
    <s v="Tarde"/>
    <s v="M3"/>
    <x v="0"/>
    <n v="53"/>
  </r>
  <r>
    <n v="646"/>
    <n v="429"/>
    <d v="2025-02-05T00:00:00"/>
    <s v="Noche"/>
    <s v="M1"/>
    <x v="0"/>
    <n v="5"/>
  </r>
  <r>
    <n v="647"/>
    <n v="429"/>
    <d v="2025-02-05T00:00:00"/>
    <s v="Noche"/>
    <s v="M1"/>
    <x v="0"/>
    <n v="99"/>
  </r>
  <r>
    <n v="648"/>
    <n v="431"/>
    <d v="2025-02-05T00:00:00"/>
    <s v="Noche"/>
    <s v="M3"/>
    <x v="0"/>
    <n v="22"/>
  </r>
  <r>
    <n v="649"/>
    <n v="432"/>
    <d v="2025-02-05T00:00:00"/>
    <s v="Noche"/>
    <s v="M4"/>
    <x v="2"/>
    <n v="15"/>
  </r>
  <r>
    <n v="650"/>
    <n v="432"/>
    <d v="2025-02-05T00:00:00"/>
    <s v="Noche"/>
    <s v="M4"/>
    <x v="1"/>
    <n v="36"/>
  </r>
  <r>
    <n v="651"/>
    <n v="432"/>
    <d v="2025-02-05T00:00:00"/>
    <s v="Noche"/>
    <s v="M4"/>
    <x v="0"/>
    <n v="31"/>
  </r>
  <r>
    <n v="652"/>
    <n v="433"/>
    <d v="2025-02-06T00:00:00"/>
    <s v="Mañana"/>
    <s v="M1"/>
    <x v="1"/>
    <n v="5"/>
  </r>
  <r>
    <n v="653"/>
    <n v="433"/>
    <d v="2025-02-06T00:00:00"/>
    <s v="Mañana"/>
    <s v="M1"/>
    <x v="0"/>
    <n v="6"/>
  </r>
  <r>
    <n v="654"/>
    <n v="434"/>
    <d v="2025-02-06T00:00:00"/>
    <s v="Mañana"/>
    <s v="M2"/>
    <x v="2"/>
    <n v="10"/>
  </r>
  <r>
    <n v="655"/>
    <n v="434"/>
    <d v="2025-02-06T00:00:00"/>
    <s v="Mañana"/>
    <s v="M2"/>
    <x v="0"/>
    <n v="70"/>
  </r>
  <r>
    <n v="656"/>
    <n v="435"/>
    <d v="2025-02-06T00:00:00"/>
    <s v="Mañana"/>
    <s v="M3"/>
    <x v="0"/>
    <n v="57"/>
  </r>
  <r>
    <n v="657"/>
    <n v="435"/>
    <d v="2025-02-06T00:00:00"/>
    <s v="Mañana"/>
    <s v="M3"/>
    <x v="2"/>
    <n v="36"/>
  </r>
  <r>
    <n v="658"/>
    <n v="435"/>
    <d v="2025-02-06T00:00:00"/>
    <s v="Mañana"/>
    <s v="M3"/>
    <x v="5"/>
    <n v="27"/>
  </r>
  <r>
    <n v="659"/>
    <n v="436"/>
    <d v="2025-02-06T00:00:00"/>
    <s v="Mañana"/>
    <s v="M4"/>
    <x v="4"/>
    <n v="53"/>
  </r>
  <r>
    <n v="660"/>
    <n v="436"/>
    <d v="2025-02-06T00:00:00"/>
    <s v="Mañana"/>
    <s v="M4"/>
    <x v="2"/>
    <n v="5"/>
  </r>
  <r>
    <n v="661"/>
    <n v="437"/>
    <d v="2025-02-06T00:00:00"/>
    <s v="Tarde"/>
    <s v="M1"/>
    <x v="0"/>
    <n v="94"/>
  </r>
  <r>
    <n v="662"/>
    <n v="438"/>
    <d v="2025-02-06T00:00:00"/>
    <s v="Tarde"/>
    <s v="M2"/>
    <x v="1"/>
    <n v="5"/>
  </r>
  <r>
    <n v="663"/>
    <n v="439"/>
    <d v="2025-02-06T00:00:00"/>
    <s v="Tarde"/>
    <s v="M3"/>
    <x v="0"/>
    <n v="19"/>
  </r>
  <r>
    <n v="664"/>
    <n v="439"/>
    <d v="2025-02-06T00:00:00"/>
    <s v="Tarde"/>
    <s v="M3"/>
    <x v="2"/>
    <n v="5"/>
  </r>
  <r>
    <n v="665"/>
    <n v="439"/>
    <d v="2025-02-06T00:00:00"/>
    <s v="Tarde"/>
    <s v="M3"/>
    <x v="2"/>
    <n v="12"/>
  </r>
  <r>
    <n v="666"/>
    <n v="440"/>
    <d v="2025-02-06T00:00:00"/>
    <s v="Tarde"/>
    <s v="M4"/>
    <x v="0"/>
    <n v="48"/>
  </r>
  <r>
    <n v="667"/>
    <n v="441"/>
    <d v="2025-02-06T00:00:00"/>
    <s v="Noche"/>
    <s v="M1"/>
    <x v="5"/>
    <n v="13"/>
  </r>
  <r>
    <n v="668"/>
    <n v="441"/>
    <d v="2025-02-06T00:00:00"/>
    <s v="Noche"/>
    <s v="M1"/>
    <x v="5"/>
    <n v="20"/>
  </r>
  <r>
    <n v="669"/>
    <n v="441"/>
    <d v="2025-02-06T00:00:00"/>
    <s v="Noche"/>
    <s v="M1"/>
    <x v="5"/>
    <n v="10"/>
  </r>
  <r>
    <n v="670"/>
    <n v="442"/>
    <d v="2025-02-06T00:00:00"/>
    <s v="Noche"/>
    <s v="M2"/>
    <x v="0"/>
    <n v="99"/>
  </r>
  <r>
    <n v="671"/>
    <n v="442"/>
    <d v="2025-02-06T00:00:00"/>
    <s v="Noche"/>
    <s v="M2"/>
    <x v="1"/>
    <n v="71"/>
  </r>
  <r>
    <n v="672"/>
    <n v="443"/>
    <d v="2025-02-06T00:00:00"/>
    <s v="Noche"/>
    <s v="M3"/>
    <x v="0"/>
    <n v="28"/>
  </r>
  <r>
    <n v="673"/>
    <n v="443"/>
    <d v="2025-02-06T00:00:00"/>
    <s v="Noche"/>
    <s v="M3"/>
    <x v="1"/>
    <n v="9"/>
  </r>
  <r>
    <n v="674"/>
    <n v="443"/>
    <d v="2025-02-06T00:00:00"/>
    <s v="Noche"/>
    <s v="M3"/>
    <x v="0"/>
    <n v="16"/>
  </r>
  <r>
    <n v="675"/>
    <n v="444"/>
    <d v="2025-02-06T00:00:00"/>
    <s v="Noche"/>
    <s v="M4"/>
    <x v="0"/>
    <n v="5"/>
  </r>
  <r>
    <n v="676"/>
    <n v="444"/>
    <d v="2025-02-06T00:00:00"/>
    <s v="Noche"/>
    <s v="M4"/>
    <x v="1"/>
    <n v="14"/>
  </r>
  <r>
    <n v="677"/>
    <n v="445"/>
    <d v="2025-02-07T00:00:00"/>
    <s v="Mañana"/>
    <s v="M1"/>
    <x v="1"/>
    <n v="9"/>
  </r>
  <r>
    <n v="678"/>
    <n v="446"/>
    <d v="2025-02-07T00:00:00"/>
    <s v="Mañana"/>
    <s v="M2"/>
    <x v="0"/>
    <n v="53"/>
  </r>
  <r>
    <n v="679"/>
    <n v="447"/>
    <d v="2025-02-07T00:00:00"/>
    <s v="Mañana"/>
    <s v="M3"/>
    <x v="5"/>
    <n v="22"/>
  </r>
  <r>
    <n v="680"/>
    <n v="449"/>
    <d v="2025-02-07T00:00:00"/>
    <s v="Tarde"/>
    <s v="M1"/>
    <x v="0"/>
    <n v="5"/>
  </r>
  <r>
    <n v="681"/>
    <n v="450"/>
    <d v="2025-02-07T00:00:00"/>
    <s v="Tarde"/>
    <s v="M2"/>
    <x v="1"/>
    <n v="11"/>
  </r>
  <r>
    <n v="682"/>
    <n v="451"/>
    <d v="2025-02-07T00:00:00"/>
    <s v="Tarde"/>
    <s v="M3"/>
    <x v="0"/>
    <n v="38"/>
  </r>
  <r>
    <n v="683"/>
    <n v="451"/>
    <d v="2025-02-07T00:00:00"/>
    <s v="Tarde"/>
    <s v="M3"/>
    <x v="0"/>
    <n v="5"/>
  </r>
  <r>
    <n v="684"/>
    <n v="451"/>
    <d v="2025-02-07T00:00:00"/>
    <s v="Tarde"/>
    <s v="M3"/>
    <x v="3"/>
    <n v="23"/>
  </r>
  <r>
    <n v="685"/>
    <n v="451"/>
    <d v="2025-02-07T00:00:00"/>
    <s v="Tarde"/>
    <s v="M3"/>
    <x v="1"/>
    <n v="49"/>
  </r>
  <r>
    <n v="686"/>
    <n v="452"/>
    <d v="2025-02-07T00:00:00"/>
    <s v="Tarde"/>
    <s v="M4"/>
    <x v="2"/>
    <n v="5"/>
  </r>
  <r>
    <n v="687"/>
    <n v="453"/>
    <d v="2025-02-07T00:00:00"/>
    <s v="Noche"/>
    <s v="M1"/>
    <x v="1"/>
    <n v="7"/>
  </r>
  <r>
    <n v="688"/>
    <n v="453"/>
    <d v="2025-02-07T00:00:00"/>
    <s v="Noche"/>
    <s v="M1"/>
    <x v="0"/>
    <n v="65"/>
  </r>
  <r>
    <n v="689"/>
    <n v="455"/>
    <d v="2025-02-07T00:00:00"/>
    <s v="Noche"/>
    <s v="M3"/>
    <x v="2"/>
    <n v="93"/>
  </r>
  <r>
    <n v="690"/>
    <n v="455"/>
    <d v="2025-02-07T00:00:00"/>
    <s v="Noche"/>
    <s v="M3"/>
    <x v="5"/>
    <n v="8"/>
  </r>
  <r>
    <n v="691"/>
    <n v="455"/>
    <d v="2025-02-07T00:00:00"/>
    <s v="Noche"/>
    <s v="M3"/>
    <x v="1"/>
    <n v="14"/>
  </r>
  <r>
    <n v="692"/>
    <n v="456"/>
    <d v="2025-02-07T00:00:00"/>
    <s v="Noche"/>
    <s v="M4"/>
    <x v="0"/>
    <n v="244"/>
  </r>
  <r>
    <n v="693"/>
    <n v="456"/>
    <d v="2025-02-07T00:00:00"/>
    <s v="Noche"/>
    <s v="M4"/>
    <x v="3"/>
    <n v="62"/>
  </r>
  <r>
    <n v="694"/>
    <n v="456"/>
    <d v="2025-02-07T00:00:00"/>
    <s v="Noche"/>
    <s v="M4"/>
    <x v="5"/>
    <n v="18"/>
  </r>
  <r>
    <n v="695"/>
    <n v="457"/>
    <d v="2025-02-08T00:00:00"/>
    <s v="Mañana"/>
    <s v="M1"/>
    <x v="2"/>
    <n v="56"/>
  </r>
  <r>
    <n v="696"/>
    <n v="457"/>
    <d v="2025-02-08T00:00:00"/>
    <s v="Mañana"/>
    <s v="M1"/>
    <x v="0"/>
    <n v="31"/>
  </r>
  <r>
    <n v="697"/>
    <n v="458"/>
    <d v="2025-02-08T00:00:00"/>
    <s v="Mañana"/>
    <s v="M2"/>
    <x v="0"/>
    <n v="45"/>
  </r>
  <r>
    <n v="698"/>
    <n v="459"/>
    <d v="2025-02-08T00:00:00"/>
    <s v="Mañana"/>
    <s v="M3"/>
    <x v="5"/>
    <n v="5"/>
  </r>
  <r>
    <n v="699"/>
    <n v="459"/>
    <d v="2025-02-08T00:00:00"/>
    <s v="Mañana"/>
    <s v="M3"/>
    <x v="0"/>
    <n v="67"/>
  </r>
  <r>
    <n v="700"/>
    <n v="460"/>
    <d v="2025-02-08T00:00:00"/>
    <s v="Mañana"/>
    <s v="M4"/>
    <x v="2"/>
    <n v="5"/>
  </r>
  <r>
    <n v="701"/>
    <n v="460"/>
    <d v="2025-02-08T00:00:00"/>
    <s v="Mañana"/>
    <s v="M4"/>
    <x v="2"/>
    <n v="6"/>
  </r>
  <r>
    <n v="702"/>
    <n v="460"/>
    <d v="2025-02-08T00:00:00"/>
    <s v="Mañana"/>
    <s v="M4"/>
    <x v="4"/>
    <n v="21"/>
  </r>
  <r>
    <n v="703"/>
    <n v="460"/>
    <d v="2025-02-08T00:00:00"/>
    <s v="Mañana"/>
    <s v="M4"/>
    <x v="2"/>
    <n v="8"/>
  </r>
  <r>
    <n v="704"/>
    <n v="461"/>
    <d v="2025-02-08T00:00:00"/>
    <s v="Tarde"/>
    <s v="M1"/>
    <x v="1"/>
    <n v="63"/>
  </r>
  <r>
    <n v="705"/>
    <n v="464"/>
    <d v="2025-02-08T00:00:00"/>
    <s v="Tarde"/>
    <s v="M4"/>
    <x v="4"/>
    <n v="24"/>
  </r>
  <r>
    <n v="706"/>
    <n v="464"/>
    <d v="2025-02-08T00:00:00"/>
    <s v="Tarde"/>
    <s v="M4"/>
    <x v="3"/>
    <n v="37"/>
  </r>
  <r>
    <n v="707"/>
    <n v="465"/>
    <d v="2025-02-08T00:00:00"/>
    <s v="Noche"/>
    <s v="M1"/>
    <x v="3"/>
    <n v="101"/>
  </r>
  <r>
    <n v="708"/>
    <n v="468"/>
    <d v="2025-02-08T00:00:00"/>
    <s v="Noche"/>
    <s v="M4"/>
    <x v="0"/>
    <n v="7"/>
  </r>
  <r>
    <n v="709"/>
    <n v="469"/>
    <d v="2025-02-09T00:00:00"/>
    <s v="Mañana"/>
    <s v="M1"/>
    <x v="5"/>
    <n v="5"/>
  </r>
  <r>
    <n v="710"/>
    <n v="469"/>
    <d v="2025-02-09T00:00:00"/>
    <s v="Mañana"/>
    <s v="M1"/>
    <x v="0"/>
    <n v="11"/>
  </r>
  <r>
    <n v="711"/>
    <n v="470"/>
    <d v="2025-02-09T00:00:00"/>
    <s v="Mañana"/>
    <s v="M2"/>
    <x v="0"/>
    <n v="74"/>
  </r>
  <r>
    <n v="712"/>
    <n v="470"/>
    <d v="2025-02-09T00:00:00"/>
    <s v="Mañana"/>
    <s v="M2"/>
    <x v="0"/>
    <n v="18"/>
  </r>
  <r>
    <n v="713"/>
    <n v="472"/>
    <d v="2025-02-09T00:00:00"/>
    <s v="Mañana"/>
    <s v="M4"/>
    <x v="2"/>
    <n v="14"/>
  </r>
  <r>
    <n v="714"/>
    <n v="472"/>
    <d v="2025-02-09T00:00:00"/>
    <s v="Mañana"/>
    <s v="M4"/>
    <x v="0"/>
    <n v="44"/>
  </r>
  <r>
    <n v="715"/>
    <n v="474"/>
    <d v="2025-02-09T00:00:00"/>
    <s v="Tarde"/>
    <s v="M2"/>
    <x v="2"/>
    <n v="12"/>
  </r>
  <r>
    <n v="716"/>
    <n v="475"/>
    <d v="2025-02-09T00:00:00"/>
    <s v="Tarde"/>
    <s v="M3"/>
    <x v="2"/>
    <n v="36"/>
  </r>
  <r>
    <n v="717"/>
    <n v="475"/>
    <d v="2025-02-09T00:00:00"/>
    <s v="Tarde"/>
    <s v="M3"/>
    <x v="3"/>
    <n v="132"/>
  </r>
  <r>
    <n v="718"/>
    <n v="475"/>
    <d v="2025-02-09T00:00:00"/>
    <s v="Tarde"/>
    <s v="M3"/>
    <x v="2"/>
    <n v="5"/>
  </r>
  <r>
    <n v="719"/>
    <n v="476"/>
    <d v="2025-02-09T00:00:00"/>
    <s v="Tarde"/>
    <s v="M4"/>
    <x v="2"/>
    <n v="39"/>
  </r>
  <r>
    <n v="720"/>
    <n v="476"/>
    <d v="2025-02-09T00:00:00"/>
    <s v="Tarde"/>
    <s v="M4"/>
    <x v="2"/>
    <n v="7"/>
  </r>
  <r>
    <n v="721"/>
    <n v="479"/>
    <d v="2025-02-09T00:00:00"/>
    <s v="Noche"/>
    <s v="M3"/>
    <x v="2"/>
    <n v="9"/>
  </r>
  <r>
    <n v="722"/>
    <n v="479"/>
    <d v="2025-02-09T00:00:00"/>
    <s v="Noche"/>
    <s v="M3"/>
    <x v="1"/>
    <n v="5"/>
  </r>
  <r>
    <n v="723"/>
    <n v="480"/>
    <d v="2025-02-09T00:00:00"/>
    <s v="Noche"/>
    <s v="M4"/>
    <x v="0"/>
    <n v="78"/>
  </r>
  <r>
    <n v="724"/>
    <n v="481"/>
    <d v="2025-02-10T00:00:00"/>
    <s v="Mañana"/>
    <s v="M1"/>
    <x v="2"/>
    <n v="31"/>
  </r>
  <r>
    <n v="725"/>
    <n v="481"/>
    <d v="2025-02-10T00:00:00"/>
    <s v="Mañana"/>
    <s v="M1"/>
    <x v="2"/>
    <n v="5"/>
  </r>
  <r>
    <n v="726"/>
    <n v="482"/>
    <d v="2025-02-10T00:00:00"/>
    <s v="Mañana"/>
    <s v="M2"/>
    <x v="1"/>
    <n v="7"/>
  </r>
  <r>
    <n v="727"/>
    <n v="483"/>
    <d v="2025-02-10T00:00:00"/>
    <s v="Mañana"/>
    <s v="M3"/>
    <x v="0"/>
    <n v="92"/>
  </r>
  <r>
    <n v="728"/>
    <n v="484"/>
    <d v="2025-02-10T00:00:00"/>
    <s v="Mañana"/>
    <s v="M4"/>
    <x v="2"/>
    <n v="8"/>
  </r>
  <r>
    <n v="729"/>
    <n v="485"/>
    <d v="2025-02-10T00:00:00"/>
    <s v="Tarde"/>
    <s v="M1"/>
    <x v="0"/>
    <n v="10"/>
  </r>
  <r>
    <n v="730"/>
    <n v="486"/>
    <d v="2025-02-10T00:00:00"/>
    <s v="Tarde"/>
    <s v="M2"/>
    <x v="5"/>
    <n v="5"/>
  </r>
  <r>
    <n v="731"/>
    <n v="487"/>
    <d v="2025-02-10T00:00:00"/>
    <s v="Tarde"/>
    <s v="M3"/>
    <x v="5"/>
    <n v="5"/>
  </r>
  <r>
    <n v="732"/>
    <n v="487"/>
    <d v="2025-02-10T00:00:00"/>
    <s v="Tarde"/>
    <s v="M3"/>
    <x v="0"/>
    <n v="10"/>
  </r>
  <r>
    <n v="733"/>
    <n v="487"/>
    <d v="2025-02-10T00:00:00"/>
    <s v="Tarde"/>
    <s v="M3"/>
    <x v="0"/>
    <n v="32"/>
  </r>
  <r>
    <n v="734"/>
    <n v="488"/>
    <d v="2025-02-10T00:00:00"/>
    <s v="Tarde"/>
    <s v="M4"/>
    <x v="0"/>
    <n v="36"/>
  </r>
  <r>
    <n v="735"/>
    <n v="488"/>
    <d v="2025-02-10T00:00:00"/>
    <s v="Tarde"/>
    <s v="M4"/>
    <x v="2"/>
    <n v="36"/>
  </r>
  <r>
    <n v="736"/>
    <n v="489"/>
    <d v="2025-02-10T00:00:00"/>
    <s v="Noche"/>
    <s v="M1"/>
    <x v="0"/>
    <n v="58"/>
  </r>
  <r>
    <n v="737"/>
    <n v="490"/>
    <d v="2025-02-10T00:00:00"/>
    <s v="Noche"/>
    <s v="M2"/>
    <x v="2"/>
    <n v="32"/>
  </r>
  <r>
    <n v="738"/>
    <n v="492"/>
    <d v="2025-02-10T00:00:00"/>
    <s v="Noche"/>
    <s v="M4"/>
    <x v="0"/>
    <n v="5"/>
  </r>
  <r>
    <n v="739"/>
    <n v="492"/>
    <d v="2025-02-10T00:00:00"/>
    <s v="Noche"/>
    <s v="M4"/>
    <x v="5"/>
    <n v="11"/>
  </r>
  <r>
    <n v="740"/>
    <n v="492"/>
    <d v="2025-02-10T00:00:00"/>
    <s v="Noche"/>
    <s v="M4"/>
    <x v="5"/>
    <n v="5"/>
  </r>
  <r>
    <n v="741"/>
    <n v="493"/>
    <d v="2025-02-11T00:00:00"/>
    <s v="Mañana"/>
    <s v="M1"/>
    <x v="1"/>
    <n v="34"/>
  </r>
  <r>
    <n v="742"/>
    <n v="493"/>
    <d v="2025-02-11T00:00:00"/>
    <s v="Mañana"/>
    <s v="M1"/>
    <x v="0"/>
    <n v="84"/>
  </r>
  <r>
    <n v="743"/>
    <n v="493"/>
    <d v="2025-02-11T00:00:00"/>
    <s v="Mañana"/>
    <s v="M1"/>
    <x v="3"/>
    <n v="129"/>
  </r>
  <r>
    <n v="744"/>
    <n v="494"/>
    <d v="2025-02-11T00:00:00"/>
    <s v="Mañana"/>
    <s v="M2"/>
    <x v="1"/>
    <n v="36"/>
  </r>
  <r>
    <n v="745"/>
    <n v="494"/>
    <d v="2025-02-11T00:00:00"/>
    <s v="Mañana"/>
    <s v="M2"/>
    <x v="1"/>
    <n v="138"/>
  </r>
  <r>
    <n v="746"/>
    <n v="496"/>
    <d v="2025-02-11T00:00:00"/>
    <s v="Mañana"/>
    <s v="M4"/>
    <x v="2"/>
    <n v="52"/>
  </r>
  <r>
    <n v="747"/>
    <n v="496"/>
    <d v="2025-02-11T00:00:00"/>
    <s v="Mañana"/>
    <s v="M4"/>
    <x v="0"/>
    <n v="5"/>
  </r>
  <r>
    <n v="748"/>
    <n v="496"/>
    <d v="2025-02-11T00:00:00"/>
    <s v="Mañana"/>
    <s v="M4"/>
    <x v="0"/>
    <n v="40"/>
  </r>
  <r>
    <n v="749"/>
    <n v="497"/>
    <d v="2025-02-11T00:00:00"/>
    <s v="Tarde"/>
    <s v="M1"/>
    <x v="2"/>
    <n v="21"/>
  </r>
  <r>
    <n v="750"/>
    <n v="497"/>
    <d v="2025-02-11T00:00:00"/>
    <s v="Tarde"/>
    <s v="M1"/>
    <x v="5"/>
    <n v="21"/>
  </r>
  <r>
    <n v="751"/>
    <n v="498"/>
    <d v="2025-02-11T00:00:00"/>
    <s v="Tarde"/>
    <s v="M2"/>
    <x v="0"/>
    <n v="10"/>
  </r>
  <r>
    <n v="752"/>
    <n v="498"/>
    <d v="2025-02-11T00:00:00"/>
    <s v="Tarde"/>
    <s v="M2"/>
    <x v="1"/>
    <n v="15"/>
  </r>
  <r>
    <n v="753"/>
    <n v="499"/>
    <d v="2025-02-11T00:00:00"/>
    <s v="Tarde"/>
    <s v="M3"/>
    <x v="0"/>
    <n v="9"/>
  </r>
  <r>
    <n v="754"/>
    <n v="499"/>
    <d v="2025-02-11T00:00:00"/>
    <s v="Tarde"/>
    <s v="M3"/>
    <x v="0"/>
    <n v="18"/>
  </r>
  <r>
    <n v="755"/>
    <n v="499"/>
    <d v="2025-02-11T00:00:00"/>
    <s v="Tarde"/>
    <s v="M3"/>
    <x v="2"/>
    <n v="35"/>
  </r>
  <r>
    <n v="756"/>
    <n v="500"/>
    <d v="2025-02-11T00:00:00"/>
    <s v="Tarde"/>
    <s v="M4"/>
    <x v="2"/>
    <n v="7"/>
  </r>
  <r>
    <n v="757"/>
    <n v="502"/>
    <d v="2025-02-11T00:00:00"/>
    <s v="Noche"/>
    <s v="M2"/>
    <x v="3"/>
    <n v="103"/>
  </r>
  <r>
    <n v="758"/>
    <n v="502"/>
    <d v="2025-02-11T00:00:00"/>
    <s v="Noche"/>
    <s v="M2"/>
    <x v="2"/>
    <n v="21"/>
  </r>
  <r>
    <n v="759"/>
    <n v="502"/>
    <d v="2025-02-11T00:00:00"/>
    <s v="Noche"/>
    <s v="M2"/>
    <x v="4"/>
    <n v="12"/>
  </r>
  <r>
    <n v="760"/>
    <n v="503"/>
    <d v="2025-02-11T00:00:00"/>
    <s v="Noche"/>
    <s v="M3"/>
    <x v="2"/>
    <n v="12"/>
  </r>
  <r>
    <n v="761"/>
    <n v="503"/>
    <d v="2025-02-11T00:00:00"/>
    <s v="Noche"/>
    <s v="M3"/>
    <x v="0"/>
    <n v="177"/>
  </r>
  <r>
    <n v="762"/>
    <n v="504"/>
    <d v="2025-02-11T00:00:00"/>
    <s v="Noche"/>
    <s v="M4"/>
    <x v="1"/>
    <n v="22"/>
  </r>
  <r>
    <n v="763"/>
    <n v="504"/>
    <d v="2025-02-11T00:00:00"/>
    <s v="Noche"/>
    <s v="M4"/>
    <x v="0"/>
    <n v="8"/>
  </r>
  <r>
    <n v="764"/>
    <n v="505"/>
    <d v="2025-02-12T00:00:00"/>
    <s v="Mañana"/>
    <s v="M1"/>
    <x v="3"/>
    <n v="33"/>
  </r>
  <r>
    <n v="765"/>
    <n v="505"/>
    <d v="2025-02-12T00:00:00"/>
    <s v="Mañana"/>
    <s v="M1"/>
    <x v="0"/>
    <n v="5"/>
  </r>
  <r>
    <n v="766"/>
    <n v="505"/>
    <d v="2025-02-12T00:00:00"/>
    <s v="Mañana"/>
    <s v="M1"/>
    <x v="0"/>
    <n v="52"/>
  </r>
  <r>
    <n v="767"/>
    <n v="506"/>
    <d v="2025-02-12T00:00:00"/>
    <s v="Mañana"/>
    <s v="M2"/>
    <x v="2"/>
    <n v="8"/>
  </r>
  <r>
    <n v="768"/>
    <n v="507"/>
    <d v="2025-02-12T00:00:00"/>
    <s v="Mañana"/>
    <s v="M3"/>
    <x v="2"/>
    <n v="32"/>
  </r>
  <r>
    <n v="769"/>
    <n v="509"/>
    <d v="2025-02-12T00:00:00"/>
    <s v="Tarde"/>
    <s v="M1"/>
    <x v="2"/>
    <n v="33"/>
  </r>
  <r>
    <n v="770"/>
    <n v="510"/>
    <d v="2025-02-12T00:00:00"/>
    <s v="Tarde"/>
    <s v="M2"/>
    <x v="3"/>
    <n v="7"/>
  </r>
  <r>
    <n v="771"/>
    <n v="511"/>
    <d v="2025-02-12T00:00:00"/>
    <s v="Tarde"/>
    <s v="M3"/>
    <x v="2"/>
    <n v="10"/>
  </r>
  <r>
    <n v="772"/>
    <n v="512"/>
    <d v="2025-02-12T00:00:00"/>
    <s v="Tarde"/>
    <s v="M4"/>
    <x v="2"/>
    <n v="5"/>
  </r>
  <r>
    <n v="773"/>
    <n v="512"/>
    <d v="2025-02-12T00:00:00"/>
    <s v="Tarde"/>
    <s v="M4"/>
    <x v="1"/>
    <n v="83"/>
  </r>
  <r>
    <n v="774"/>
    <n v="512"/>
    <d v="2025-02-12T00:00:00"/>
    <s v="Tarde"/>
    <s v="M4"/>
    <x v="1"/>
    <n v="5"/>
  </r>
  <r>
    <n v="775"/>
    <n v="513"/>
    <d v="2025-02-12T00:00:00"/>
    <s v="Noche"/>
    <s v="M1"/>
    <x v="2"/>
    <n v="5"/>
  </r>
  <r>
    <n v="776"/>
    <n v="513"/>
    <d v="2025-02-12T00:00:00"/>
    <s v="Noche"/>
    <s v="M1"/>
    <x v="0"/>
    <n v="19"/>
  </r>
  <r>
    <n v="777"/>
    <n v="513"/>
    <d v="2025-02-12T00:00:00"/>
    <s v="Noche"/>
    <s v="M1"/>
    <x v="2"/>
    <n v="22"/>
  </r>
  <r>
    <n v="778"/>
    <n v="514"/>
    <d v="2025-02-12T00:00:00"/>
    <s v="Noche"/>
    <s v="M2"/>
    <x v="0"/>
    <n v="79"/>
  </r>
  <r>
    <n v="779"/>
    <n v="516"/>
    <d v="2025-02-12T00:00:00"/>
    <s v="Noche"/>
    <s v="M4"/>
    <x v="1"/>
    <n v="95"/>
  </r>
  <r>
    <n v="780"/>
    <n v="517"/>
    <d v="2025-02-13T00:00:00"/>
    <s v="Mañana"/>
    <s v="M1"/>
    <x v="5"/>
    <n v="11"/>
  </r>
  <r>
    <n v="781"/>
    <n v="517"/>
    <d v="2025-02-13T00:00:00"/>
    <s v="Mañana"/>
    <s v="M1"/>
    <x v="1"/>
    <n v="16"/>
  </r>
  <r>
    <n v="782"/>
    <n v="517"/>
    <d v="2025-02-13T00:00:00"/>
    <s v="Mañana"/>
    <s v="M1"/>
    <x v="1"/>
    <n v="52"/>
  </r>
  <r>
    <n v="783"/>
    <n v="517"/>
    <d v="2025-02-13T00:00:00"/>
    <s v="Mañana"/>
    <s v="M1"/>
    <x v="0"/>
    <n v="80"/>
  </r>
  <r>
    <n v="784"/>
    <n v="518"/>
    <d v="2025-02-13T00:00:00"/>
    <s v="Mañana"/>
    <s v="M2"/>
    <x v="4"/>
    <n v="7"/>
  </r>
  <r>
    <n v="785"/>
    <n v="519"/>
    <d v="2025-02-13T00:00:00"/>
    <s v="Mañana"/>
    <s v="M3"/>
    <x v="2"/>
    <n v="7"/>
  </r>
  <r>
    <n v="786"/>
    <n v="521"/>
    <d v="2025-02-13T00:00:00"/>
    <s v="Tarde"/>
    <s v="M1"/>
    <x v="1"/>
    <n v="49"/>
  </r>
  <r>
    <n v="787"/>
    <n v="521"/>
    <d v="2025-02-13T00:00:00"/>
    <s v="Tarde"/>
    <s v="M1"/>
    <x v="3"/>
    <n v="30"/>
  </r>
  <r>
    <n v="788"/>
    <n v="522"/>
    <d v="2025-02-13T00:00:00"/>
    <s v="Tarde"/>
    <s v="M2"/>
    <x v="1"/>
    <n v="32"/>
  </r>
  <r>
    <n v="789"/>
    <n v="523"/>
    <d v="2025-02-13T00:00:00"/>
    <s v="Tarde"/>
    <s v="M3"/>
    <x v="1"/>
    <n v="7"/>
  </r>
  <r>
    <n v="790"/>
    <n v="524"/>
    <d v="2025-02-13T00:00:00"/>
    <s v="Tarde"/>
    <s v="M4"/>
    <x v="0"/>
    <n v="24"/>
  </r>
  <r>
    <n v="791"/>
    <n v="528"/>
    <d v="2025-02-13T00:00:00"/>
    <s v="Noche"/>
    <s v="M4"/>
    <x v="0"/>
    <n v="91"/>
  </r>
  <r>
    <n v="792"/>
    <n v="528"/>
    <d v="2025-02-13T00:00:00"/>
    <s v="Noche"/>
    <s v="M4"/>
    <x v="4"/>
    <n v="13"/>
  </r>
  <r>
    <n v="793"/>
    <n v="529"/>
    <d v="2025-02-14T00:00:00"/>
    <s v="Mañana"/>
    <s v="M1"/>
    <x v="2"/>
    <n v="5"/>
  </r>
  <r>
    <n v="794"/>
    <n v="529"/>
    <d v="2025-02-14T00:00:00"/>
    <s v="Mañana"/>
    <s v="M1"/>
    <x v="5"/>
    <n v="5"/>
  </r>
  <r>
    <n v="795"/>
    <n v="530"/>
    <d v="2025-02-14T00:00:00"/>
    <s v="Mañana"/>
    <s v="M2"/>
    <x v="0"/>
    <n v="55"/>
  </r>
  <r>
    <n v="796"/>
    <n v="530"/>
    <d v="2025-02-14T00:00:00"/>
    <s v="Mañana"/>
    <s v="M2"/>
    <x v="0"/>
    <n v="105"/>
  </r>
  <r>
    <n v="797"/>
    <n v="532"/>
    <d v="2025-02-14T00:00:00"/>
    <s v="Mañana"/>
    <s v="M4"/>
    <x v="0"/>
    <n v="76"/>
  </r>
  <r>
    <n v="798"/>
    <n v="533"/>
    <d v="2025-02-14T00:00:00"/>
    <s v="Tarde"/>
    <s v="M1"/>
    <x v="4"/>
    <n v="5"/>
  </r>
  <r>
    <n v="799"/>
    <n v="535"/>
    <d v="2025-02-14T00:00:00"/>
    <s v="Tarde"/>
    <s v="M3"/>
    <x v="2"/>
    <n v="5"/>
  </r>
  <r>
    <n v="800"/>
    <n v="536"/>
    <d v="2025-02-14T00:00:00"/>
    <s v="Tarde"/>
    <s v="M4"/>
    <x v="0"/>
    <n v="14"/>
  </r>
  <r>
    <n v="801"/>
    <n v="537"/>
    <d v="2025-02-14T00:00:00"/>
    <s v="Noche"/>
    <s v="M1"/>
    <x v="0"/>
    <n v="22"/>
  </r>
  <r>
    <n v="802"/>
    <n v="538"/>
    <d v="2025-02-14T00:00:00"/>
    <s v="Noche"/>
    <s v="M2"/>
    <x v="4"/>
    <n v="56"/>
  </r>
  <r>
    <n v="803"/>
    <n v="539"/>
    <d v="2025-02-14T00:00:00"/>
    <s v="Noche"/>
    <s v="M3"/>
    <x v="1"/>
    <n v="52"/>
  </r>
  <r>
    <n v="804"/>
    <n v="540"/>
    <d v="2025-02-14T00:00:00"/>
    <s v="Noche"/>
    <s v="M4"/>
    <x v="1"/>
    <n v="13"/>
  </r>
  <r>
    <n v="805"/>
    <n v="542"/>
    <d v="2025-02-15T00:00:00"/>
    <s v="Mañana"/>
    <s v="M2"/>
    <x v="2"/>
    <n v="19"/>
  </r>
  <r>
    <n v="806"/>
    <n v="542"/>
    <d v="2025-02-15T00:00:00"/>
    <s v="Mañana"/>
    <s v="M2"/>
    <x v="2"/>
    <n v="11"/>
  </r>
  <r>
    <n v="807"/>
    <n v="542"/>
    <d v="2025-02-15T00:00:00"/>
    <s v="Mañana"/>
    <s v="M2"/>
    <x v="0"/>
    <n v="37"/>
  </r>
  <r>
    <n v="808"/>
    <n v="542"/>
    <d v="2025-02-15T00:00:00"/>
    <s v="Mañana"/>
    <s v="M2"/>
    <x v="4"/>
    <n v="5"/>
  </r>
  <r>
    <n v="809"/>
    <n v="542"/>
    <d v="2025-02-15T00:00:00"/>
    <s v="Mañana"/>
    <s v="M2"/>
    <x v="3"/>
    <n v="70"/>
  </r>
  <r>
    <n v="810"/>
    <n v="542"/>
    <d v="2025-02-15T00:00:00"/>
    <s v="Mañana"/>
    <s v="M2"/>
    <x v="5"/>
    <n v="12"/>
  </r>
  <r>
    <n v="811"/>
    <n v="543"/>
    <d v="2025-02-15T00:00:00"/>
    <s v="Mañana"/>
    <s v="M3"/>
    <x v="4"/>
    <n v="120"/>
  </r>
  <r>
    <n v="812"/>
    <n v="544"/>
    <d v="2025-02-15T00:00:00"/>
    <s v="Mañana"/>
    <s v="M4"/>
    <x v="4"/>
    <n v="5"/>
  </r>
  <r>
    <n v="813"/>
    <n v="545"/>
    <d v="2025-02-15T00:00:00"/>
    <s v="Tarde"/>
    <s v="M1"/>
    <x v="1"/>
    <n v="27"/>
  </r>
  <r>
    <n v="814"/>
    <n v="545"/>
    <d v="2025-02-15T00:00:00"/>
    <s v="Tarde"/>
    <s v="M1"/>
    <x v="1"/>
    <n v="34"/>
  </r>
  <r>
    <n v="815"/>
    <n v="546"/>
    <d v="2025-02-15T00:00:00"/>
    <s v="Tarde"/>
    <s v="M2"/>
    <x v="0"/>
    <n v="53"/>
  </r>
  <r>
    <n v="816"/>
    <n v="547"/>
    <d v="2025-02-15T00:00:00"/>
    <s v="Tarde"/>
    <s v="M3"/>
    <x v="0"/>
    <n v="6"/>
  </r>
  <r>
    <n v="817"/>
    <n v="549"/>
    <d v="2025-02-15T00:00:00"/>
    <s v="Noche"/>
    <s v="M1"/>
    <x v="2"/>
    <n v="5"/>
  </r>
  <r>
    <n v="818"/>
    <n v="549"/>
    <d v="2025-02-15T00:00:00"/>
    <s v="Noche"/>
    <s v="M1"/>
    <x v="0"/>
    <n v="13"/>
  </r>
  <r>
    <n v="819"/>
    <n v="550"/>
    <d v="2025-02-15T00:00:00"/>
    <s v="Noche"/>
    <s v="M2"/>
    <x v="0"/>
    <n v="49"/>
  </r>
  <r>
    <n v="820"/>
    <n v="550"/>
    <d v="2025-02-15T00:00:00"/>
    <s v="Noche"/>
    <s v="M2"/>
    <x v="3"/>
    <n v="5"/>
  </r>
  <r>
    <n v="821"/>
    <n v="551"/>
    <d v="2025-02-15T00:00:00"/>
    <s v="Noche"/>
    <s v="M3"/>
    <x v="0"/>
    <n v="41"/>
  </r>
  <r>
    <n v="822"/>
    <n v="551"/>
    <d v="2025-02-15T00:00:00"/>
    <s v="Noche"/>
    <s v="M3"/>
    <x v="0"/>
    <n v="112"/>
  </r>
  <r>
    <n v="823"/>
    <n v="552"/>
    <d v="2025-02-15T00:00:00"/>
    <s v="Noche"/>
    <s v="M4"/>
    <x v="2"/>
    <n v="23"/>
  </r>
  <r>
    <n v="824"/>
    <n v="553"/>
    <d v="2025-02-16T00:00:00"/>
    <s v="Mañana"/>
    <s v="M1"/>
    <x v="0"/>
    <n v="14"/>
  </r>
  <r>
    <n v="825"/>
    <n v="553"/>
    <d v="2025-02-16T00:00:00"/>
    <s v="Mañana"/>
    <s v="M1"/>
    <x v="0"/>
    <n v="48"/>
  </r>
  <r>
    <n v="826"/>
    <n v="553"/>
    <d v="2025-02-16T00:00:00"/>
    <s v="Mañana"/>
    <s v="M1"/>
    <x v="1"/>
    <n v="27"/>
  </r>
  <r>
    <n v="827"/>
    <n v="554"/>
    <d v="2025-02-16T00:00:00"/>
    <s v="Mañana"/>
    <s v="M2"/>
    <x v="2"/>
    <n v="8"/>
  </r>
  <r>
    <n v="828"/>
    <n v="555"/>
    <d v="2025-02-16T00:00:00"/>
    <s v="Mañana"/>
    <s v="M3"/>
    <x v="2"/>
    <n v="26"/>
  </r>
  <r>
    <n v="829"/>
    <n v="555"/>
    <d v="2025-02-16T00:00:00"/>
    <s v="Mañana"/>
    <s v="M3"/>
    <x v="5"/>
    <n v="5"/>
  </r>
  <r>
    <n v="830"/>
    <n v="555"/>
    <d v="2025-02-16T00:00:00"/>
    <s v="Mañana"/>
    <s v="M3"/>
    <x v="0"/>
    <n v="56"/>
  </r>
  <r>
    <n v="831"/>
    <n v="557"/>
    <d v="2025-02-16T00:00:00"/>
    <s v="Tarde"/>
    <s v="M1"/>
    <x v="2"/>
    <n v="9"/>
  </r>
  <r>
    <n v="832"/>
    <n v="557"/>
    <d v="2025-02-16T00:00:00"/>
    <s v="Tarde"/>
    <s v="M1"/>
    <x v="1"/>
    <n v="14"/>
  </r>
  <r>
    <n v="833"/>
    <n v="557"/>
    <d v="2025-02-16T00:00:00"/>
    <s v="Tarde"/>
    <s v="M1"/>
    <x v="0"/>
    <n v="5"/>
  </r>
  <r>
    <n v="834"/>
    <n v="559"/>
    <d v="2025-02-16T00:00:00"/>
    <s v="Tarde"/>
    <s v="M3"/>
    <x v="0"/>
    <n v="16"/>
  </r>
  <r>
    <n v="835"/>
    <n v="559"/>
    <d v="2025-02-16T00:00:00"/>
    <s v="Tarde"/>
    <s v="M3"/>
    <x v="2"/>
    <n v="22"/>
  </r>
  <r>
    <n v="836"/>
    <n v="559"/>
    <d v="2025-02-16T00:00:00"/>
    <s v="Tarde"/>
    <s v="M3"/>
    <x v="1"/>
    <n v="11"/>
  </r>
  <r>
    <n v="837"/>
    <n v="559"/>
    <d v="2025-02-16T00:00:00"/>
    <s v="Tarde"/>
    <s v="M3"/>
    <x v="0"/>
    <n v="45"/>
  </r>
  <r>
    <n v="838"/>
    <n v="560"/>
    <d v="2025-02-16T00:00:00"/>
    <s v="Tarde"/>
    <s v="M4"/>
    <x v="1"/>
    <n v="28"/>
  </r>
  <r>
    <n v="839"/>
    <n v="560"/>
    <d v="2025-02-16T00:00:00"/>
    <s v="Tarde"/>
    <s v="M4"/>
    <x v="0"/>
    <n v="5"/>
  </r>
  <r>
    <n v="840"/>
    <n v="560"/>
    <d v="2025-02-16T00:00:00"/>
    <s v="Tarde"/>
    <s v="M4"/>
    <x v="0"/>
    <n v="26"/>
  </r>
  <r>
    <n v="841"/>
    <n v="560"/>
    <d v="2025-02-16T00:00:00"/>
    <s v="Tarde"/>
    <s v="M4"/>
    <x v="1"/>
    <n v="56"/>
  </r>
  <r>
    <n v="842"/>
    <n v="561"/>
    <d v="2025-02-16T00:00:00"/>
    <s v="Noche"/>
    <s v="M1"/>
    <x v="2"/>
    <n v="17"/>
  </r>
  <r>
    <n v="843"/>
    <n v="563"/>
    <d v="2025-02-16T00:00:00"/>
    <s v="Noche"/>
    <s v="M3"/>
    <x v="1"/>
    <n v="51"/>
  </r>
  <r>
    <n v="844"/>
    <n v="564"/>
    <d v="2025-02-16T00:00:00"/>
    <s v="Noche"/>
    <s v="M4"/>
    <x v="0"/>
    <n v="42"/>
  </r>
  <r>
    <n v="845"/>
    <n v="565"/>
    <d v="2025-02-17T00:00:00"/>
    <s v="Mañana"/>
    <s v="M1"/>
    <x v="1"/>
    <n v="18"/>
  </r>
  <r>
    <n v="846"/>
    <n v="565"/>
    <d v="2025-02-17T00:00:00"/>
    <s v="Mañana"/>
    <s v="M1"/>
    <x v="0"/>
    <n v="54"/>
  </r>
  <r>
    <n v="847"/>
    <n v="566"/>
    <d v="2025-02-17T00:00:00"/>
    <s v="Mañana"/>
    <s v="M2"/>
    <x v="0"/>
    <n v="5"/>
  </r>
  <r>
    <n v="848"/>
    <n v="567"/>
    <d v="2025-02-17T00:00:00"/>
    <s v="Mañana"/>
    <s v="M3"/>
    <x v="5"/>
    <n v="9"/>
  </r>
  <r>
    <n v="849"/>
    <n v="567"/>
    <d v="2025-02-17T00:00:00"/>
    <s v="Mañana"/>
    <s v="M3"/>
    <x v="2"/>
    <n v="54"/>
  </r>
  <r>
    <n v="850"/>
    <n v="568"/>
    <d v="2025-02-17T00:00:00"/>
    <s v="Mañana"/>
    <s v="M4"/>
    <x v="0"/>
    <n v="18"/>
  </r>
  <r>
    <n v="851"/>
    <n v="568"/>
    <d v="2025-02-17T00:00:00"/>
    <s v="Mañana"/>
    <s v="M4"/>
    <x v="2"/>
    <n v="5"/>
  </r>
  <r>
    <n v="852"/>
    <n v="569"/>
    <d v="2025-02-17T00:00:00"/>
    <s v="Tarde"/>
    <s v="M1"/>
    <x v="2"/>
    <n v="5"/>
  </r>
  <r>
    <n v="853"/>
    <n v="570"/>
    <d v="2025-02-17T00:00:00"/>
    <s v="Tarde"/>
    <s v="M2"/>
    <x v="1"/>
    <n v="5"/>
  </r>
  <r>
    <n v="854"/>
    <n v="570"/>
    <d v="2025-02-17T00:00:00"/>
    <s v="Tarde"/>
    <s v="M2"/>
    <x v="5"/>
    <n v="42"/>
  </r>
  <r>
    <n v="855"/>
    <n v="572"/>
    <d v="2025-02-17T00:00:00"/>
    <s v="Tarde"/>
    <s v="M4"/>
    <x v="0"/>
    <n v="22"/>
  </r>
  <r>
    <n v="856"/>
    <n v="572"/>
    <d v="2025-02-17T00:00:00"/>
    <s v="Tarde"/>
    <s v="M4"/>
    <x v="0"/>
    <n v="59"/>
  </r>
  <r>
    <n v="857"/>
    <n v="573"/>
    <d v="2025-02-17T00:00:00"/>
    <s v="Noche"/>
    <s v="M1"/>
    <x v="0"/>
    <n v="73"/>
  </r>
  <r>
    <n v="858"/>
    <n v="573"/>
    <d v="2025-02-17T00:00:00"/>
    <s v="Noche"/>
    <s v="M1"/>
    <x v="2"/>
    <n v="5"/>
  </r>
  <r>
    <n v="859"/>
    <n v="573"/>
    <d v="2025-02-17T00:00:00"/>
    <s v="Noche"/>
    <s v="M1"/>
    <x v="2"/>
    <n v="47"/>
  </r>
  <r>
    <n v="860"/>
    <n v="575"/>
    <d v="2025-02-17T00:00:00"/>
    <s v="Noche"/>
    <s v="M3"/>
    <x v="3"/>
    <n v="84"/>
  </r>
  <r>
    <n v="861"/>
    <n v="577"/>
    <d v="2025-02-18T00:00:00"/>
    <s v="Mañana"/>
    <s v="M1"/>
    <x v="3"/>
    <n v="7"/>
  </r>
  <r>
    <n v="862"/>
    <n v="577"/>
    <d v="2025-02-18T00:00:00"/>
    <s v="Mañana"/>
    <s v="M1"/>
    <x v="4"/>
    <n v="88"/>
  </r>
  <r>
    <n v="863"/>
    <n v="579"/>
    <d v="2025-02-18T00:00:00"/>
    <s v="Mañana"/>
    <s v="M3"/>
    <x v="5"/>
    <n v="45"/>
  </r>
  <r>
    <n v="864"/>
    <n v="579"/>
    <d v="2025-02-18T00:00:00"/>
    <s v="Mañana"/>
    <s v="M3"/>
    <x v="0"/>
    <n v="182"/>
  </r>
  <r>
    <n v="865"/>
    <n v="579"/>
    <d v="2025-02-18T00:00:00"/>
    <s v="Mañana"/>
    <s v="M3"/>
    <x v="0"/>
    <n v="75"/>
  </r>
  <r>
    <n v="866"/>
    <n v="580"/>
    <d v="2025-02-18T00:00:00"/>
    <s v="Mañana"/>
    <s v="M4"/>
    <x v="0"/>
    <n v="41"/>
  </r>
  <r>
    <n v="867"/>
    <n v="580"/>
    <d v="2025-02-18T00:00:00"/>
    <s v="Mañana"/>
    <s v="M4"/>
    <x v="4"/>
    <n v="12"/>
  </r>
  <r>
    <n v="868"/>
    <n v="582"/>
    <d v="2025-02-18T00:00:00"/>
    <s v="Tarde"/>
    <s v="M2"/>
    <x v="5"/>
    <n v="12"/>
  </r>
  <r>
    <n v="869"/>
    <n v="583"/>
    <d v="2025-02-18T00:00:00"/>
    <s v="Tarde"/>
    <s v="M3"/>
    <x v="3"/>
    <n v="46"/>
  </r>
  <r>
    <n v="870"/>
    <n v="583"/>
    <d v="2025-02-18T00:00:00"/>
    <s v="Tarde"/>
    <s v="M3"/>
    <x v="1"/>
    <n v="7"/>
  </r>
  <r>
    <n v="871"/>
    <n v="585"/>
    <d v="2025-02-18T00:00:00"/>
    <s v="Noche"/>
    <s v="M1"/>
    <x v="1"/>
    <n v="5"/>
  </r>
  <r>
    <n v="872"/>
    <n v="585"/>
    <d v="2025-02-18T00:00:00"/>
    <s v="Noche"/>
    <s v="M1"/>
    <x v="2"/>
    <n v="5"/>
  </r>
  <r>
    <n v="873"/>
    <n v="586"/>
    <d v="2025-02-18T00:00:00"/>
    <s v="Noche"/>
    <s v="M2"/>
    <x v="2"/>
    <n v="14"/>
  </r>
  <r>
    <n v="874"/>
    <n v="587"/>
    <d v="2025-02-18T00:00:00"/>
    <s v="Noche"/>
    <s v="M3"/>
    <x v="2"/>
    <n v="5"/>
  </r>
  <r>
    <n v="875"/>
    <n v="588"/>
    <d v="2025-02-18T00:00:00"/>
    <s v="Noche"/>
    <s v="M4"/>
    <x v="0"/>
    <n v="5"/>
  </r>
  <r>
    <n v="876"/>
    <n v="588"/>
    <d v="2025-02-18T00:00:00"/>
    <s v="Noche"/>
    <s v="M4"/>
    <x v="0"/>
    <n v="35"/>
  </r>
  <r>
    <n v="877"/>
    <n v="588"/>
    <d v="2025-02-18T00:00:00"/>
    <s v="Noche"/>
    <s v="M4"/>
    <x v="1"/>
    <n v="5"/>
  </r>
  <r>
    <n v="878"/>
    <n v="588"/>
    <d v="2025-02-18T00:00:00"/>
    <s v="Noche"/>
    <s v="M4"/>
    <x v="3"/>
    <n v="110"/>
  </r>
  <r>
    <n v="879"/>
    <n v="590"/>
    <d v="2025-02-19T00:00:00"/>
    <s v="Mañana"/>
    <s v="M2"/>
    <x v="2"/>
    <n v="91"/>
  </r>
  <r>
    <n v="880"/>
    <n v="593"/>
    <d v="2025-02-19T00:00:00"/>
    <s v="Tarde"/>
    <s v="M1"/>
    <x v="2"/>
    <n v="5"/>
  </r>
  <r>
    <n v="881"/>
    <n v="593"/>
    <d v="2025-02-19T00:00:00"/>
    <s v="Tarde"/>
    <s v="M1"/>
    <x v="0"/>
    <n v="8"/>
  </r>
  <r>
    <n v="882"/>
    <n v="594"/>
    <d v="2025-02-19T00:00:00"/>
    <s v="Tarde"/>
    <s v="M2"/>
    <x v="2"/>
    <n v="5"/>
  </r>
  <r>
    <n v="883"/>
    <n v="594"/>
    <d v="2025-02-19T00:00:00"/>
    <s v="Tarde"/>
    <s v="M2"/>
    <x v="0"/>
    <n v="8"/>
  </r>
  <r>
    <n v="884"/>
    <n v="595"/>
    <d v="2025-02-19T00:00:00"/>
    <s v="Tarde"/>
    <s v="M3"/>
    <x v="0"/>
    <n v="19"/>
  </r>
  <r>
    <n v="885"/>
    <n v="595"/>
    <d v="2025-02-19T00:00:00"/>
    <s v="Tarde"/>
    <s v="M3"/>
    <x v="5"/>
    <n v="73"/>
  </r>
  <r>
    <n v="886"/>
    <n v="595"/>
    <d v="2025-02-19T00:00:00"/>
    <s v="Tarde"/>
    <s v="M3"/>
    <x v="0"/>
    <n v="93"/>
  </r>
  <r>
    <n v="887"/>
    <n v="596"/>
    <d v="2025-02-19T00:00:00"/>
    <s v="Tarde"/>
    <s v="M4"/>
    <x v="3"/>
    <n v="11"/>
  </r>
  <r>
    <n v="888"/>
    <n v="597"/>
    <d v="2025-02-19T00:00:00"/>
    <s v="Noche"/>
    <s v="M1"/>
    <x v="5"/>
    <n v="24"/>
  </r>
  <r>
    <n v="889"/>
    <n v="597"/>
    <d v="2025-02-19T00:00:00"/>
    <s v="Noche"/>
    <s v="M1"/>
    <x v="4"/>
    <n v="5"/>
  </r>
  <r>
    <n v="890"/>
    <n v="598"/>
    <d v="2025-02-19T00:00:00"/>
    <s v="Noche"/>
    <s v="M2"/>
    <x v="2"/>
    <n v="113"/>
  </r>
  <r>
    <n v="891"/>
    <n v="598"/>
    <d v="2025-02-19T00:00:00"/>
    <s v="Noche"/>
    <s v="M2"/>
    <x v="0"/>
    <n v="50"/>
  </r>
  <r>
    <n v="892"/>
    <n v="600"/>
    <d v="2025-02-19T00:00:00"/>
    <s v="Noche"/>
    <s v="M4"/>
    <x v="2"/>
    <n v="22"/>
  </r>
  <r>
    <n v="893"/>
    <n v="600"/>
    <d v="2025-02-19T00:00:00"/>
    <s v="Noche"/>
    <s v="M4"/>
    <x v="2"/>
    <n v="10"/>
  </r>
  <r>
    <n v="894"/>
    <n v="601"/>
    <d v="2025-02-20T00:00:00"/>
    <s v="Mañana"/>
    <s v="M1"/>
    <x v="2"/>
    <n v="16"/>
  </r>
  <r>
    <n v="895"/>
    <n v="602"/>
    <d v="2025-02-20T00:00:00"/>
    <s v="Mañana"/>
    <s v="M2"/>
    <x v="2"/>
    <n v="30"/>
  </r>
  <r>
    <n v="896"/>
    <n v="603"/>
    <d v="2025-02-20T00:00:00"/>
    <s v="Mañana"/>
    <s v="M3"/>
    <x v="2"/>
    <n v="5"/>
  </r>
  <r>
    <n v="897"/>
    <n v="603"/>
    <d v="2025-02-20T00:00:00"/>
    <s v="Mañana"/>
    <s v="M3"/>
    <x v="0"/>
    <n v="24"/>
  </r>
  <r>
    <n v="898"/>
    <n v="603"/>
    <d v="2025-02-20T00:00:00"/>
    <s v="Mañana"/>
    <s v="M3"/>
    <x v="2"/>
    <n v="14"/>
  </r>
  <r>
    <n v="899"/>
    <n v="603"/>
    <d v="2025-02-20T00:00:00"/>
    <s v="Mañana"/>
    <s v="M3"/>
    <x v="0"/>
    <n v="5"/>
  </r>
  <r>
    <n v="900"/>
    <n v="604"/>
    <d v="2025-02-20T00:00:00"/>
    <s v="Mañana"/>
    <s v="M4"/>
    <x v="2"/>
    <n v="56"/>
  </r>
  <r>
    <n v="901"/>
    <n v="606"/>
    <d v="2025-02-20T00:00:00"/>
    <s v="Tarde"/>
    <s v="M2"/>
    <x v="4"/>
    <n v="5"/>
  </r>
  <r>
    <n v="902"/>
    <n v="607"/>
    <d v="2025-02-20T00:00:00"/>
    <s v="Tarde"/>
    <s v="M3"/>
    <x v="1"/>
    <n v="73"/>
  </r>
  <r>
    <n v="903"/>
    <n v="607"/>
    <d v="2025-02-20T00:00:00"/>
    <s v="Tarde"/>
    <s v="M3"/>
    <x v="2"/>
    <n v="5"/>
  </r>
  <r>
    <n v="904"/>
    <n v="607"/>
    <d v="2025-02-20T00:00:00"/>
    <s v="Tarde"/>
    <s v="M3"/>
    <x v="0"/>
    <n v="9"/>
  </r>
  <r>
    <n v="905"/>
    <n v="607"/>
    <d v="2025-02-20T00:00:00"/>
    <s v="Tarde"/>
    <s v="M3"/>
    <x v="0"/>
    <n v="16"/>
  </r>
  <r>
    <n v="906"/>
    <n v="608"/>
    <d v="2025-02-20T00:00:00"/>
    <s v="Tarde"/>
    <s v="M4"/>
    <x v="0"/>
    <n v="8"/>
  </r>
  <r>
    <n v="907"/>
    <n v="608"/>
    <d v="2025-02-20T00:00:00"/>
    <s v="Tarde"/>
    <s v="M4"/>
    <x v="2"/>
    <n v="5"/>
  </r>
  <r>
    <n v="908"/>
    <n v="609"/>
    <d v="2025-02-20T00:00:00"/>
    <s v="Noche"/>
    <s v="M1"/>
    <x v="1"/>
    <n v="33"/>
  </r>
  <r>
    <n v="909"/>
    <n v="611"/>
    <d v="2025-02-20T00:00:00"/>
    <s v="Noche"/>
    <s v="M3"/>
    <x v="1"/>
    <n v="80"/>
  </r>
  <r>
    <n v="910"/>
    <n v="611"/>
    <d v="2025-02-20T00:00:00"/>
    <s v="Noche"/>
    <s v="M3"/>
    <x v="3"/>
    <n v="76"/>
  </r>
  <r>
    <n v="911"/>
    <n v="613"/>
    <d v="2025-02-21T00:00:00"/>
    <s v="Mañana"/>
    <s v="M1"/>
    <x v="0"/>
    <n v="88"/>
  </r>
  <r>
    <n v="912"/>
    <n v="614"/>
    <d v="2025-02-21T00:00:00"/>
    <s v="Mañana"/>
    <s v="M2"/>
    <x v="5"/>
    <n v="5"/>
  </r>
  <r>
    <n v="913"/>
    <n v="615"/>
    <d v="2025-02-21T00:00:00"/>
    <s v="Mañana"/>
    <s v="M3"/>
    <x v="5"/>
    <n v="21"/>
  </r>
  <r>
    <n v="914"/>
    <n v="615"/>
    <d v="2025-02-21T00:00:00"/>
    <s v="Mañana"/>
    <s v="M3"/>
    <x v="1"/>
    <n v="101"/>
  </r>
  <r>
    <n v="915"/>
    <n v="615"/>
    <d v="2025-02-21T00:00:00"/>
    <s v="Mañana"/>
    <s v="M3"/>
    <x v="2"/>
    <n v="5"/>
  </r>
  <r>
    <n v="916"/>
    <n v="616"/>
    <d v="2025-02-21T00:00:00"/>
    <s v="Mañana"/>
    <s v="M4"/>
    <x v="2"/>
    <n v="7"/>
  </r>
  <r>
    <n v="917"/>
    <n v="617"/>
    <d v="2025-02-21T00:00:00"/>
    <s v="Tarde"/>
    <s v="M1"/>
    <x v="2"/>
    <n v="6"/>
  </r>
  <r>
    <n v="918"/>
    <n v="618"/>
    <d v="2025-02-21T00:00:00"/>
    <s v="Tarde"/>
    <s v="M2"/>
    <x v="0"/>
    <n v="140"/>
  </r>
  <r>
    <n v="919"/>
    <n v="618"/>
    <d v="2025-02-21T00:00:00"/>
    <s v="Tarde"/>
    <s v="M2"/>
    <x v="2"/>
    <n v="8"/>
  </r>
  <r>
    <n v="920"/>
    <n v="618"/>
    <d v="2025-02-21T00:00:00"/>
    <s v="Tarde"/>
    <s v="M2"/>
    <x v="0"/>
    <n v="29"/>
  </r>
  <r>
    <n v="921"/>
    <n v="618"/>
    <d v="2025-02-21T00:00:00"/>
    <s v="Tarde"/>
    <s v="M2"/>
    <x v="0"/>
    <n v="12"/>
  </r>
  <r>
    <n v="922"/>
    <n v="619"/>
    <d v="2025-02-21T00:00:00"/>
    <s v="Tarde"/>
    <s v="M3"/>
    <x v="5"/>
    <n v="5"/>
  </r>
  <r>
    <n v="923"/>
    <n v="619"/>
    <d v="2025-02-21T00:00:00"/>
    <s v="Tarde"/>
    <s v="M3"/>
    <x v="1"/>
    <n v="87"/>
  </r>
  <r>
    <n v="924"/>
    <n v="619"/>
    <d v="2025-02-21T00:00:00"/>
    <s v="Tarde"/>
    <s v="M3"/>
    <x v="1"/>
    <n v="12"/>
  </r>
  <r>
    <n v="925"/>
    <n v="620"/>
    <d v="2025-02-21T00:00:00"/>
    <s v="Tarde"/>
    <s v="M4"/>
    <x v="0"/>
    <n v="72"/>
  </r>
  <r>
    <n v="926"/>
    <n v="621"/>
    <d v="2025-02-21T00:00:00"/>
    <s v="Noche"/>
    <s v="M1"/>
    <x v="5"/>
    <n v="25"/>
  </r>
  <r>
    <n v="927"/>
    <n v="621"/>
    <d v="2025-02-21T00:00:00"/>
    <s v="Noche"/>
    <s v="M1"/>
    <x v="3"/>
    <n v="22"/>
  </r>
  <r>
    <n v="928"/>
    <n v="622"/>
    <d v="2025-02-21T00:00:00"/>
    <s v="Noche"/>
    <s v="M2"/>
    <x v="4"/>
    <n v="5"/>
  </r>
  <r>
    <n v="929"/>
    <n v="622"/>
    <d v="2025-02-21T00:00:00"/>
    <s v="Noche"/>
    <s v="M2"/>
    <x v="0"/>
    <n v="56"/>
  </r>
  <r>
    <n v="930"/>
    <n v="622"/>
    <d v="2025-02-21T00:00:00"/>
    <s v="Noche"/>
    <s v="M2"/>
    <x v="2"/>
    <n v="37"/>
  </r>
  <r>
    <n v="931"/>
    <n v="623"/>
    <d v="2025-02-21T00:00:00"/>
    <s v="Noche"/>
    <s v="M3"/>
    <x v="1"/>
    <n v="21"/>
  </r>
  <r>
    <n v="932"/>
    <n v="623"/>
    <d v="2025-02-21T00:00:00"/>
    <s v="Noche"/>
    <s v="M3"/>
    <x v="1"/>
    <n v="18"/>
  </r>
  <r>
    <n v="933"/>
    <n v="624"/>
    <d v="2025-02-21T00:00:00"/>
    <s v="Noche"/>
    <s v="M4"/>
    <x v="5"/>
    <n v="16"/>
  </r>
  <r>
    <n v="934"/>
    <n v="625"/>
    <d v="2025-02-22T00:00:00"/>
    <s v="Mañana"/>
    <s v="M1"/>
    <x v="2"/>
    <n v="43"/>
  </r>
  <r>
    <n v="935"/>
    <n v="625"/>
    <d v="2025-02-22T00:00:00"/>
    <s v="Mañana"/>
    <s v="M1"/>
    <x v="0"/>
    <n v="146"/>
  </r>
  <r>
    <n v="936"/>
    <n v="626"/>
    <d v="2025-02-22T00:00:00"/>
    <s v="Mañana"/>
    <s v="M2"/>
    <x v="3"/>
    <n v="21"/>
  </r>
  <r>
    <n v="937"/>
    <n v="628"/>
    <d v="2025-02-22T00:00:00"/>
    <s v="Mañana"/>
    <s v="M4"/>
    <x v="0"/>
    <n v="33"/>
  </r>
  <r>
    <n v="938"/>
    <n v="628"/>
    <d v="2025-02-22T00:00:00"/>
    <s v="Mañana"/>
    <s v="M4"/>
    <x v="2"/>
    <n v="42"/>
  </r>
  <r>
    <n v="939"/>
    <n v="631"/>
    <d v="2025-02-22T00:00:00"/>
    <s v="Tarde"/>
    <s v="M3"/>
    <x v="5"/>
    <n v="5"/>
  </r>
  <r>
    <n v="940"/>
    <n v="632"/>
    <d v="2025-02-22T00:00:00"/>
    <s v="Tarde"/>
    <s v="M4"/>
    <x v="0"/>
    <n v="62"/>
  </r>
  <r>
    <n v="941"/>
    <n v="633"/>
    <d v="2025-02-22T00:00:00"/>
    <s v="Noche"/>
    <s v="M1"/>
    <x v="0"/>
    <n v="10"/>
  </r>
  <r>
    <n v="942"/>
    <n v="633"/>
    <d v="2025-02-22T00:00:00"/>
    <s v="Noche"/>
    <s v="M1"/>
    <x v="2"/>
    <n v="5"/>
  </r>
  <r>
    <n v="943"/>
    <n v="633"/>
    <d v="2025-02-22T00:00:00"/>
    <s v="Noche"/>
    <s v="M1"/>
    <x v="0"/>
    <n v="110"/>
  </r>
  <r>
    <n v="944"/>
    <n v="633"/>
    <d v="2025-02-22T00:00:00"/>
    <s v="Noche"/>
    <s v="M1"/>
    <x v="5"/>
    <n v="20"/>
  </r>
  <r>
    <n v="945"/>
    <n v="635"/>
    <d v="2025-02-22T00:00:00"/>
    <s v="Noche"/>
    <s v="M3"/>
    <x v="2"/>
    <n v="8"/>
  </r>
  <r>
    <n v="946"/>
    <n v="636"/>
    <d v="2025-02-22T00:00:00"/>
    <s v="Noche"/>
    <s v="M4"/>
    <x v="0"/>
    <n v="232"/>
  </r>
  <r>
    <n v="947"/>
    <n v="638"/>
    <d v="2025-02-23T00:00:00"/>
    <s v="Mañana"/>
    <s v="M2"/>
    <x v="1"/>
    <n v="21"/>
  </r>
  <r>
    <n v="948"/>
    <n v="638"/>
    <d v="2025-02-23T00:00:00"/>
    <s v="Mañana"/>
    <s v="M2"/>
    <x v="4"/>
    <n v="50"/>
  </r>
  <r>
    <n v="949"/>
    <n v="639"/>
    <d v="2025-02-23T00:00:00"/>
    <s v="Mañana"/>
    <s v="M3"/>
    <x v="3"/>
    <n v="84"/>
  </r>
  <r>
    <n v="950"/>
    <n v="639"/>
    <d v="2025-02-23T00:00:00"/>
    <s v="Mañana"/>
    <s v="M3"/>
    <x v="0"/>
    <n v="34"/>
  </r>
  <r>
    <n v="951"/>
    <n v="642"/>
    <d v="2025-02-23T00:00:00"/>
    <s v="Tarde"/>
    <s v="M2"/>
    <x v="0"/>
    <n v="12"/>
  </r>
  <r>
    <n v="952"/>
    <n v="642"/>
    <d v="2025-02-23T00:00:00"/>
    <s v="Tarde"/>
    <s v="M2"/>
    <x v="0"/>
    <n v="5"/>
  </r>
  <r>
    <n v="953"/>
    <n v="642"/>
    <d v="2025-02-23T00:00:00"/>
    <s v="Tarde"/>
    <s v="M2"/>
    <x v="0"/>
    <n v="36"/>
  </r>
  <r>
    <n v="954"/>
    <n v="643"/>
    <d v="2025-02-23T00:00:00"/>
    <s v="Tarde"/>
    <s v="M3"/>
    <x v="0"/>
    <n v="5"/>
  </r>
  <r>
    <n v="955"/>
    <n v="643"/>
    <d v="2025-02-23T00:00:00"/>
    <s v="Tarde"/>
    <s v="M3"/>
    <x v="3"/>
    <n v="5"/>
  </r>
  <r>
    <n v="956"/>
    <n v="643"/>
    <d v="2025-02-23T00:00:00"/>
    <s v="Tarde"/>
    <s v="M3"/>
    <x v="0"/>
    <n v="15"/>
  </r>
  <r>
    <n v="957"/>
    <n v="644"/>
    <d v="2025-02-23T00:00:00"/>
    <s v="Tarde"/>
    <s v="M4"/>
    <x v="1"/>
    <n v="5"/>
  </r>
  <r>
    <n v="958"/>
    <n v="647"/>
    <d v="2025-02-23T00:00:00"/>
    <s v="Noche"/>
    <s v="M3"/>
    <x v="4"/>
    <n v="5"/>
  </r>
  <r>
    <n v="959"/>
    <n v="648"/>
    <d v="2025-02-23T00:00:00"/>
    <s v="Noche"/>
    <s v="M4"/>
    <x v="0"/>
    <n v="15"/>
  </r>
  <r>
    <n v="960"/>
    <n v="648"/>
    <d v="2025-02-23T00:00:00"/>
    <s v="Noche"/>
    <s v="M4"/>
    <x v="2"/>
    <n v="9"/>
  </r>
  <r>
    <n v="961"/>
    <n v="648"/>
    <d v="2025-02-23T00:00:00"/>
    <s v="Noche"/>
    <s v="M4"/>
    <x v="2"/>
    <n v="5"/>
  </r>
  <r>
    <n v="962"/>
    <n v="648"/>
    <d v="2025-02-23T00:00:00"/>
    <s v="Noche"/>
    <s v="M4"/>
    <x v="1"/>
    <n v="5"/>
  </r>
  <r>
    <n v="963"/>
    <n v="649"/>
    <d v="2025-02-24T00:00:00"/>
    <s v="Mañana"/>
    <s v="M1"/>
    <x v="2"/>
    <n v="5"/>
  </r>
  <r>
    <n v="964"/>
    <n v="649"/>
    <d v="2025-02-24T00:00:00"/>
    <s v="Mañana"/>
    <s v="M1"/>
    <x v="2"/>
    <n v="10"/>
  </r>
  <r>
    <n v="965"/>
    <n v="649"/>
    <d v="2025-02-24T00:00:00"/>
    <s v="Mañana"/>
    <s v="M1"/>
    <x v="0"/>
    <n v="14"/>
  </r>
  <r>
    <n v="966"/>
    <n v="650"/>
    <d v="2025-02-24T00:00:00"/>
    <s v="Mañana"/>
    <s v="M2"/>
    <x v="0"/>
    <n v="22"/>
  </r>
  <r>
    <n v="967"/>
    <n v="651"/>
    <d v="2025-02-24T00:00:00"/>
    <s v="Mañana"/>
    <s v="M3"/>
    <x v="3"/>
    <n v="28"/>
  </r>
  <r>
    <n v="968"/>
    <n v="652"/>
    <d v="2025-02-24T00:00:00"/>
    <s v="Mañana"/>
    <s v="M4"/>
    <x v="0"/>
    <n v="125"/>
  </r>
  <r>
    <n v="969"/>
    <n v="653"/>
    <d v="2025-02-24T00:00:00"/>
    <s v="Tarde"/>
    <s v="M1"/>
    <x v="0"/>
    <n v="16"/>
  </r>
  <r>
    <n v="970"/>
    <n v="653"/>
    <d v="2025-02-24T00:00:00"/>
    <s v="Tarde"/>
    <s v="M1"/>
    <x v="1"/>
    <n v="13"/>
  </r>
  <r>
    <n v="971"/>
    <n v="654"/>
    <d v="2025-02-24T00:00:00"/>
    <s v="Tarde"/>
    <s v="M2"/>
    <x v="0"/>
    <n v="12"/>
  </r>
  <r>
    <n v="972"/>
    <n v="654"/>
    <d v="2025-02-24T00:00:00"/>
    <s v="Tarde"/>
    <s v="M2"/>
    <x v="0"/>
    <n v="46"/>
  </r>
  <r>
    <n v="973"/>
    <n v="655"/>
    <d v="2025-02-24T00:00:00"/>
    <s v="Tarde"/>
    <s v="M3"/>
    <x v="2"/>
    <n v="32"/>
  </r>
  <r>
    <n v="974"/>
    <n v="655"/>
    <d v="2025-02-24T00:00:00"/>
    <s v="Tarde"/>
    <s v="M3"/>
    <x v="0"/>
    <n v="5"/>
  </r>
  <r>
    <n v="975"/>
    <n v="656"/>
    <d v="2025-02-24T00:00:00"/>
    <s v="Tarde"/>
    <s v="M4"/>
    <x v="1"/>
    <n v="11"/>
  </r>
  <r>
    <n v="976"/>
    <n v="657"/>
    <d v="2025-02-24T00:00:00"/>
    <s v="Noche"/>
    <s v="M1"/>
    <x v="0"/>
    <n v="7"/>
  </r>
  <r>
    <n v="977"/>
    <n v="658"/>
    <d v="2025-02-24T00:00:00"/>
    <s v="Noche"/>
    <s v="M2"/>
    <x v="2"/>
    <n v="5"/>
  </r>
  <r>
    <n v="978"/>
    <n v="660"/>
    <d v="2025-02-24T00:00:00"/>
    <s v="Noche"/>
    <s v="M4"/>
    <x v="2"/>
    <n v="5"/>
  </r>
  <r>
    <n v="979"/>
    <n v="660"/>
    <d v="2025-02-24T00:00:00"/>
    <s v="Noche"/>
    <s v="M4"/>
    <x v="0"/>
    <n v="111"/>
  </r>
  <r>
    <n v="980"/>
    <n v="660"/>
    <d v="2025-02-24T00:00:00"/>
    <s v="Noche"/>
    <s v="M4"/>
    <x v="0"/>
    <n v="20"/>
  </r>
  <r>
    <n v="981"/>
    <n v="661"/>
    <d v="2025-02-25T00:00:00"/>
    <s v="Mañana"/>
    <s v="M1"/>
    <x v="0"/>
    <n v="28"/>
  </r>
  <r>
    <n v="982"/>
    <n v="661"/>
    <d v="2025-02-25T00:00:00"/>
    <s v="Mañana"/>
    <s v="M1"/>
    <x v="0"/>
    <n v="61"/>
  </r>
  <r>
    <n v="983"/>
    <n v="661"/>
    <d v="2025-02-25T00:00:00"/>
    <s v="Mañana"/>
    <s v="M1"/>
    <x v="4"/>
    <n v="13"/>
  </r>
  <r>
    <n v="984"/>
    <n v="661"/>
    <d v="2025-02-25T00:00:00"/>
    <s v="Mañana"/>
    <s v="M1"/>
    <x v="0"/>
    <n v="146"/>
  </r>
  <r>
    <n v="985"/>
    <n v="662"/>
    <d v="2025-02-25T00:00:00"/>
    <s v="Mañana"/>
    <s v="M2"/>
    <x v="5"/>
    <n v="25"/>
  </r>
  <r>
    <n v="986"/>
    <n v="662"/>
    <d v="2025-02-25T00:00:00"/>
    <s v="Mañana"/>
    <s v="M2"/>
    <x v="0"/>
    <n v="25"/>
  </r>
  <r>
    <n v="987"/>
    <n v="663"/>
    <d v="2025-02-25T00:00:00"/>
    <s v="Mañana"/>
    <s v="M3"/>
    <x v="0"/>
    <n v="23"/>
  </r>
  <r>
    <n v="988"/>
    <n v="663"/>
    <d v="2025-02-25T00:00:00"/>
    <s v="Mañana"/>
    <s v="M3"/>
    <x v="1"/>
    <n v="17"/>
  </r>
  <r>
    <n v="989"/>
    <n v="663"/>
    <d v="2025-02-25T00:00:00"/>
    <s v="Mañana"/>
    <s v="M3"/>
    <x v="1"/>
    <n v="13"/>
  </r>
  <r>
    <n v="990"/>
    <n v="663"/>
    <d v="2025-02-25T00:00:00"/>
    <s v="Mañana"/>
    <s v="M3"/>
    <x v="1"/>
    <n v="6"/>
  </r>
  <r>
    <n v="991"/>
    <n v="663"/>
    <d v="2025-02-25T00:00:00"/>
    <s v="Mañana"/>
    <s v="M3"/>
    <x v="1"/>
    <n v="23"/>
  </r>
  <r>
    <n v="992"/>
    <n v="663"/>
    <d v="2025-02-25T00:00:00"/>
    <s v="Mañana"/>
    <s v="M3"/>
    <x v="0"/>
    <n v="15"/>
  </r>
  <r>
    <n v="993"/>
    <n v="665"/>
    <d v="2025-02-25T00:00:00"/>
    <s v="Tarde"/>
    <s v="M1"/>
    <x v="4"/>
    <n v="18"/>
  </r>
  <r>
    <n v="994"/>
    <n v="665"/>
    <d v="2025-02-25T00:00:00"/>
    <s v="Tarde"/>
    <s v="M1"/>
    <x v="1"/>
    <n v="8"/>
  </r>
  <r>
    <n v="995"/>
    <n v="667"/>
    <d v="2025-02-25T00:00:00"/>
    <s v="Tarde"/>
    <s v="M3"/>
    <x v="5"/>
    <n v="11"/>
  </r>
  <r>
    <n v="996"/>
    <n v="667"/>
    <d v="2025-02-25T00:00:00"/>
    <s v="Tarde"/>
    <s v="M3"/>
    <x v="0"/>
    <n v="58"/>
  </r>
  <r>
    <n v="997"/>
    <n v="668"/>
    <d v="2025-02-25T00:00:00"/>
    <s v="Tarde"/>
    <s v="M4"/>
    <x v="1"/>
    <n v="5"/>
  </r>
  <r>
    <n v="998"/>
    <n v="668"/>
    <d v="2025-02-25T00:00:00"/>
    <s v="Tarde"/>
    <s v="M4"/>
    <x v="4"/>
    <n v="5"/>
  </r>
  <r>
    <n v="999"/>
    <n v="668"/>
    <d v="2025-02-25T00:00:00"/>
    <s v="Tarde"/>
    <s v="M4"/>
    <x v="0"/>
    <n v="76"/>
  </r>
  <r>
    <n v="1000"/>
    <n v="669"/>
    <d v="2025-02-25T00:00:00"/>
    <s v="Noche"/>
    <s v="M1"/>
    <x v="4"/>
    <n v="5"/>
  </r>
  <r>
    <n v="1001"/>
    <n v="669"/>
    <d v="2025-02-25T00:00:00"/>
    <s v="Noche"/>
    <s v="M1"/>
    <x v="5"/>
    <n v="28"/>
  </r>
  <r>
    <n v="1002"/>
    <n v="671"/>
    <d v="2025-02-25T00:00:00"/>
    <s v="Noche"/>
    <s v="M3"/>
    <x v="0"/>
    <n v="5"/>
  </r>
  <r>
    <n v="1003"/>
    <n v="672"/>
    <d v="2025-02-25T00:00:00"/>
    <s v="Noche"/>
    <s v="M4"/>
    <x v="3"/>
    <n v="44"/>
  </r>
  <r>
    <n v="1004"/>
    <n v="672"/>
    <d v="2025-02-25T00:00:00"/>
    <s v="Noche"/>
    <s v="M4"/>
    <x v="0"/>
    <n v="5"/>
  </r>
  <r>
    <n v="1005"/>
    <n v="672"/>
    <d v="2025-02-25T00:00:00"/>
    <s v="Noche"/>
    <s v="M4"/>
    <x v="1"/>
    <n v="5"/>
  </r>
  <r>
    <n v="1006"/>
    <n v="672"/>
    <d v="2025-02-25T00:00:00"/>
    <s v="Noche"/>
    <s v="M4"/>
    <x v="0"/>
    <n v="34"/>
  </r>
  <r>
    <n v="1007"/>
    <n v="674"/>
    <d v="2025-02-26T00:00:00"/>
    <s v="Mañana"/>
    <s v="M2"/>
    <x v="1"/>
    <n v="29"/>
  </r>
  <r>
    <n v="1008"/>
    <n v="674"/>
    <d v="2025-02-26T00:00:00"/>
    <s v="Mañana"/>
    <s v="M2"/>
    <x v="1"/>
    <n v="20"/>
  </r>
  <r>
    <n v="1009"/>
    <n v="674"/>
    <d v="2025-02-26T00:00:00"/>
    <s v="Mañana"/>
    <s v="M2"/>
    <x v="2"/>
    <n v="8"/>
  </r>
  <r>
    <n v="1010"/>
    <n v="674"/>
    <d v="2025-02-26T00:00:00"/>
    <s v="Mañana"/>
    <s v="M2"/>
    <x v="2"/>
    <n v="5"/>
  </r>
  <r>
    <n v="1011"/>
    <n v="674"/>
    <d v="2025-02-26T00:00:00"/>
    <s v="Mañana"/>
    <s v="M2"/>
    <x v="5"/>
    <n v="5"/>
  </r>
  <r>
    <n v="1012"/>
    <n v="675"/>
    <d v="2025-02-26T00:00:00"/>
    <s v="Mañana"/>
    <s v="M3"/>
    <x v="2"/>
    <n v="8"/>
  </r>
  <r>
    <n v="1013"/>
    <n v="675"/>
    <d v="2025-02-26T00:00:00"/>
    <s v="Mañana"/>
    <s v="M3"/>
    <x v="3"/>
    <n v="153"/>
  </r>
  <r>
    <n v="1014"/>
    <n v="676"/>
    <d v="2025-02-26T00:00:00"/>
    <s v="Mañana"/>
    <s v="M4"/>
    <x v="2"/>
    <n v="8"/>
  </r>
  <r>
    <n v="1015"/>
    <n v="677"/>
    <d v="2025-02-26T00:00:00"/>
    <s v="Tarde"/>
    <s v="M1"/>
    <x v="0"/>
    <n v="161"/>
  </r>
  <r>
    <n v="1016"/>
    <n v="677"/>
    <d v="2025-02-26T00:00:00"/>
    <s v="Tarde"/>
    <s v="M1"/>
    <x v="2"/>
    <n v="19"/>
  </r>
  <r>
    <n v="1017"/>
    <n v="678"/>
    <d v="2025-02-26T00:00:00"/>
    <s v="Tarde"/>
    <s v="M2"/>
    <x v="0"/>
    <n v="81"/>
  </r>
  <r>
    <n v="1018"/>
    <n v="679"/>
    <d v="2025-02-26T00:00:00"/>
    <s v="Tarde"/>
    <s v="M3"/>
    <x v="2"/>
    <n v="5"/>
  </r>
  <r>
    <n v="1019"/>
    <n v="679"/>
    <d v="2025-02-26T00:00:00"/>
    <s v="Tarde"/>
    <s v="M3"/>
    <x v="0"/>
    <n v="5"/>
  </r>
  <r>
    <n v="1020"/>
    <n v="681"/>
    <d v="2025-02-26T00:00:00"/>
    <s v="Noche"/>
    <s v="M1"/>
    <x v="0"/>
    <n v="26"/>
  </r>
  <r>
    <n v="1021"/>
    <n v="682"/>
    <d v="2025-02-26T00:00:00"/>
    <s v="Noche"/>
    <s v="M2"/>
    <x v="0"/>
    <n v="20"/>
  </r>
  <r>
    <n v="1022"/>
    <n v="683"/>
    <d v="2025-02-26T00:00:00"/>
    <s v="Noche"/>
    <s v="M3"/>
    <x v="1"/>
    <n v="18"/>
  </r>
  <r>
    <n v="1023"/>
    <n v="683"/>
    <d v="2025-02-26T00:00:00"/>
    <s v="Noche"/>
    <s v="M3"/>
    <x v="2"/>
    <n v="28"/>
  </r>
  <r>
    <n v="1024"/>
    <n v="683"/>
    <d v="2025-02-26T00:00:00"/>
    <s v="Noche"/>
    <s v="M3"/>
    <x v="0"/>
    <n v="17"/>
  </r>
  <r>
    <n v="1025"/>
    <n v="683"/>
    <d v="2025-02-26T00:00:00"/>
    <s v="Noche"/>
    <s v="M3"/>
    <x v="4"/>
    <n v="5"/>
  </r>
  <r>
    <n v="1026"/>
    <n v="683"/>
    <d v="2025-02-26T00:00:00"/>
    <s v="Noche"/>
    <s v="M3"/>
    <x v="2"/>
    <n v="48"/>
  </r>
  <r>
    <n v="1027"/>
    <n v="684"/>
    <d v="2025-02-26T00:00:00"/>
    <s v="Noche"/>
    <s v="M4"/>
    <x v="4"/>
    <n v="20"/>
  </r>
  <r>
    <n v="1028"/>
    <n v="686"/>
    <d v="2025-02-27T00:00:00"/>
    <s v="Mañana"/>
    <s v="M2"/>
    <x v="1"/>
    <n v="80"/>
  </r>
  <r>
    <n v="1029"/>
    <n v="687"/>
    <d v="2025-02-27T00:00:00"/>
    <s v="Mañana"/>
    <s v="M3"/>
    <x v="4"/>
    <n v="26"/>
  </r>
  <r>
    <n v="1030"/>
    <n v="687"/>
    <d v="2025-02-27T00:00:00"/>
    <s v="Mañana"/>
    <s v="M3"/>
    <x v="4"/>
    <n v="24"/>
  </r>
  <r>
    <n v="1031"/>
    <n v="689"/>
    <d v="2025-02-27T00:00:00"/>
    <s v="Tarde"/>
    <s v="M1"/>
    <x v="0"/>
    <n v="63"/>
  </r>
  <r>
    <n v="1032"/>
    <n v="690"/>
    <d v="2025-02-27T00:00:00"/>
    <s v="Tarde"/>
    <s v="M2"/>
    <x v="0"/>
    <n v="28"/>
  </r>
  <r>
    <n v="1033"/>
    <n v="692"/>
    <d v="2025-02-27T00:00:00"/>
    <s v="Tarde"/>
    <s v="M4"/>
    <x v="0"/>
    <n v="5"/>
  </r>
  <r>
    <n v="1034"/>
    <n v="692"/>
    <d v="2025-02-27T00:00:00"/>
    <s v="Tarde"/>
    <s v="M4"/>
    <x v="2"/>
    <n v="33"/>
  </r>
  <r>
    <n v="1035"/>
    <n v="693"/>
    <d v="2025-02-27T00:00:00"/>
    <s v="Noche"/>
    <s v="M1"/>
    <x v="5"/>
    <n v="5"/>
  </r>
  <r>
    <n v="1036"/>
    <n v="693"/>
    <d v="2025-02-27T00:00:00"/>
    <s v="Noche"/>
    <s v="M1"/>
    <x v="3"/>
    <n v="83"/>
  </r>
  <r>
    <n v="1037"/>
    <n v="694"/>
    <d v="2025-02-27T00:00:00"/>
    <s v="Noche"/>
    <s v="M2"/>
    <x v="0"/>
    <n v="54"/>
  </r>
  <r>
    <n v="1038"/>
    <n v="694"/>
    <d v="2025-02-27T00:00:00"/>
    <s v="Noche"/>
    <s v="M2"/>
    <x v="5"/>
    <n v="39"/>
  </r>
  <r>
    <n v="1039"/>
    <n v="695"/>
    <d v="2025-02-27T00:00:00"/>
    <s v="Noche"/>
    <s v="M3"/>
    <x v="2"/>
    <n v="6"/>
  </r>
  <r>
    <n v="1040"/>
    <n v="696"/>
    <d v="2025-02-27T00:00:00"/>
    <s v="Noche"/>
    <s v="M4"/>
    <x v="5"/>
    <n v="8"/>
  </r>
  <r>
    <n v="1041"/>
    <n v="696"/>
    <d v="2025-02-27T00:00:00"/>
    <s v="Noche"/>
    <s v="M4"/>
    <x v="4"/>
    <n v="5"/>
  </r>
  <r>
    <n v="1042"/>
    <n v="696"/>
    <d v="2025-02-27T00:00:00"/>
    <s v="Noche"/>
    <s v="M4"/>
    <x v="3"/>
    <n v="14"/>
  </r>
  <r>
    <n v="1043"/>
    <n v="697"/>
    <d v="2025-02-28T00:00:00"/>
    <s v="Mañana"/>
    <s v="M1"/>
    <x v="1"/>
    <n v="7"/>
  </r>
  <r>
    <n v="1044"/>
    <n v="697"/>
    <d v="2025-02-28T00:00:00"/>
    <s v="Mañana"/>
    <s v="M1"/>
    <x v="0"/>
    <n v="16"/>
  </r>
  <r>
    <n v="1045"/>
    <n v="698"/>
    <d v="2025-02-28T00:00:00"/>
    <s v="Mañana"/>
    <s v="M2"/>
    <x v="0"/>
    <n v="39"/>
  </r>
  <r>
    <n v="1046"/>
    <n v="699"/>
    <d v="2025-02-28T00:00:00"/>
    <s v="Mañana"/>
    <s v="M3"/>
    <x v="1"/>
    <n v="15"/>
  </r>
  <r>
    <n v="1047"/>
    <n v="699"/>
    <d v="2025-02-28T00:00:00"/>
    <s v="Mañana"/>
    <s v="M3"/>
    <x v="2"/>
    <n v="5"/>
  </r>
  <r>
    <n v="1048"/>
    <n v="701"/>
    <d v="2025-02-28T00:00:00"/>
    <s v="Tarde"/>
    <s v="M1"/>
    <x v="4"/>
    <n v="31"/>
  </r>
  <r>
    <n v="1049"/>
    <n v="702"/>
    <d v="2025-02-28T00:00:00"/>
    <s v="Tarde"/>
    <s v="M2"/>
    <x v="2"/>
    <n v="68"/>
  </r>
  <r>
    <n v="1050"/>
    <n v="702"/>
    <d v="2025-02-28T00:00:00"/>
    <s v="Tarde"/>
    <s v="M2"/>
    <x v="1"/>
    <n v="5"/>
  </r>
  <r>
    <n v="1051"/>
    <n v="704"/>
    <d v="2025-02-28T00:00:00"/>
    <s v="Tarde"/>
    <s v="M4"/>
    <x v="5"/>
    <n v="12"/>
  </r>
  <r>
    <n v="1052"/>
    <n v="705"/>
    <d v="2025-02-28T00:00:00"/>
    <s v="Noche"/>
    <s v="M1"/>
    <x v="2"/>
    <n v="39"/>
  </r>
  <r>
    <n v="1053"/>
    <n v="707"/>
    <d v="2025-02-28T00:00:00"/>
    <s v="Noche"/>
    <s v="M3"/>
    <x v="0"/>
    <n v="18"/>
  </r>
  <r>
    <n v="1054"/>
    <n v="708"/>
    <d v="2025-02-28T00:00:00"/>
    <s v="Noche"/>
    <s v="M4"/>
    <x v="4"/>
    <n v="15"/>
  </r>
  <r>
    <n v="1055"/>
    <n v="708"/>
    <d v="2025-02-28T00:00:00"/>
    <s v="Noche"/>
    <s v="M4"/>
    <x v="1"/>
    <n v="123"/>
  </r>
  <r>
    <n v="1056"/>
    <n v="709"/>
    <d v="2025-03-01T00:00:00"/>
    <s v="Mañana"/>
    <s v="M1"/>
    <x v="0"/>
    <n v="5"/>
  </r>
  <r>
    <n v="1057"/>
    <n v="711"/>
    <d v="2025-03-01T00:00:00"/>
    <s v="Mañana"/>
    <s v="M3"/>
    <x v="5"/>
    <n v="5"/>
  </r>
  <r>
    <n v="1058"/>
    <n v="712"/>
    <d v="2025-03-01T00:00:00"/>
    <s v="Mañana"/>
    <s v="M4"/>
    <x v="2"/>
    <n v="43"/>
  </r>
  <r>
    <n v="1059"/>
    <n v="712"/>
    <d v="2025-03-01T00:00:00"/>
    <s v="Mañana"/>
    <s v="M4"/>
    <x v="4"/>
    <n v="10"/>
  </r>
  <r>
    <n v="1060"/>
    <n v="713"/>
    <d v="2025-03-01T00:00:00"/>
    <s v="Tarde"/>
    <s v="M1"/>
    <x v="0"/>
    <n v="143"/>
  </r>
  <r>
    <n v="1061"/>
    <n v="713"/>
    <d v="2025-03-01T00:00:00"/>
    <s v="Tarde"/>
    <s v="M1"/>
    <x v="0"/>
    <n v="39"/>
  </r>
  <r>
    <n v="1062"/>
    <n v="714"/>
    <d v="2025-03-01T00:00:00"/>
    <s v="Tarde"/>
    <s v="M2"/>
    <x v="2"/>
    <n v="5"/>
  </r>
  <r>
    <n v="1063"/>
    <n v="714"/>
    <d v="2025-03-01T00:00:00"/>
    <s v="Tarde"/>
    <s v="M2"/>
    <x v="0"/>
    <n v="26"/>
  </r>
  <r>
    <n v="1064"/>
    <n v="715"/>
    <d v="2025-03-01T00:00:00"/>
    <s v="Tarde"/>
    <s v="M3"/>
    <x v="0"/>
    <n v="152"/>
  </r>
  <r>
    <n v="1065"/>
    <n v="716"/>
    <d v="2025-03-01T00:00:00"/>
    <s v="Tarde"/>
    <s v="M4"/>
    <x v="5"/>
    <n v="44"/>
  </r>
  <r>
    <n v="1066"/>
    <n v="716"/>
    <d v="2025-03-01T00:00:00"/>
    <s v="Tarde"/>
    <s v="M4"/>
    <x v="0"/>
    <n v="7"/>
  </r>
  <r>
    <n v="1067"/>
    <n v="718"/>
    <d v="2025-03-01T00:00:00"/>
    <s v="Noche"/>
    <s v="M2"/>
    <x v="2"/>
    <n v="15"/>
  </r>
  <r>
    <n v="1068"/>
    <n v="718"/>
    <d v="2025-03-01T00:00:00"/>
    <s v="Noche"/>
    <s v="M2"/>
    <x v="2"/>
    <n v="5"/>
  </r>
  <r>
    <n v="1069"/>
    <n v="718"/>
    <d v="2025-03-01T00:00:00"/>
    <s v="Noche"/>
    <s v="M2"/>
    <x v="3"/>
    <n v="115"/>
  </r>
  <r>
    <n v="1070"/>
    <n v="719"/>
    <d v="2025-03-01T00:00:00"/>
    <s v="Noche"/>
    <s v="M3"/>
    <x v="1"/>
    <n v="21"/>
  </r>
  <r>
    <n v="1071"/>
    <n v="720"/>
    <d v="2025-03-01T00:00:00"/>
    <s v="Noche"/>
    <s v="M4"/>
    <x v="2"/>
    <n v="8"/>
  </r>
  <r>
    <n v="1072"/>
    <n v="720"/>
    <d v="2025-03-01T00:00:00"/>
    <s v="Noche"/>
    <s v="M4"/>
    <x v="2"/>
    <n v="30"/>
  </r>
  <r>
    <n v="1073"/>
    <n v="721"/>
    <d v="2025-03-02T00:00:00"/>
    <s v="Mañana"/>
    <s v="M1"/>
    <x v="5"/>
    <n v="5"/>
  </r>
  <r>
    <n v="1074"/>
    <n v="722"/>
    <d v="2025-03-02T00:00:00"/>
    <s v="Mañana"/>
    <s v="M2"/>
    <x v="1"/>
    <n v="21"/>
  </r>
  <r>
    <n v="1075"/>
    <n v="723"/>
    <d v="2025-03-02T00:00:00"/>
    <s v="Mañana"/>
    <s v="M3"/>
    <x v="2"/>
    <n v="40"/>
  </r>
  <r>
    <n v="1076"/>
    <n v="723"/>
    <d v="2025-03-02T00:00:00"/>
    <s v="Mañana"/>
    <s v="M3"/>
    <x v="2"/>
    <n v="25"/>
  </r>
  <r>
    <n v="1077"/>
    <n v="724"/>
    <d v="2025-03-02T00:00:00"/>
    <s v="Mañana"/>
    <s v="M4"/>
    <x v="4"/>
    <n v="6"/>
  </r>
  <r>
    <n v="1078"/>
    <n v="725"/>
    <d v="2025-03-02T00:00:00"/>
    <s v="Tarde"/>
    <s v="M1"/>
    <x v="4"/>
    <n v="84"/>
  </r>
  <r>
    <n v="1079"/>
    <n v="726"/>
    <d v="2025-03-02T00:00:00"/>
    <s v="Tarde"/>
    <s v="M2"/>
    <x v="1"/>
    <n v="5"/>
  </r>
  <r>
    <n v="1080"/>
    <n v="726"/>
    <d v="2025-03-02T00:00:00"/>
    <s v="Tarde"/>
    <s v="M2"/>
    <x v="0"/>
    <n v="21"/>
  </r>
  <r>
    <n v="1081"/>
    <n v="727"/>
    <d v="2025-03-02T00:00:00"/>
    <s v="Tarde"/>
    <s v="M3"/>
    <x v="0"/>
    <n v="16"/>
  </r>
  <r>
    <n v="1082"/>
    <n v="728"/>
    <d v="2025-03-02T00:00:00"/>
    <s v="Tarde"/>
    <s v="M4"/>
    <x v="1"/>
    <n v="37"/>
  </r>
  <r>
    <n v="1083"/>
    <n v="728"/>
    <d v="2025-03-02T00:00:00"/>
    <s v="Tarde"/>
    <s v="M4"/>
    <x v="1"/>
    <n v="5"/>
  </r>
  <r>
    <n v="1084"/>
    <n v="728"/>
    <d v="2025-03-02T00:00:00"/>
    <s v="Tarde"/>
    <s v="M4"/>
    <x v="1"/>
    <n v="5"/>
  </r>
  <r>
    <n v="1085"/>
    <n v="730"/>
    <d v="2025-03-02T00:00:00"/>
    <s v="Noche"/>
    <s v="M2"/>
    <x v="0"/>
    <n v="137"/>
  </r>
  <r>
    <n v="1086"/>
    <n v="730"/>
    <d v="2025-03-02T00:00:00"/>
    <s v="Noche"/>
    <s v="M2"/>
    <x v="0"/>
    <n v="9"/>
  </r>
  <r>
    <n v="1087"/>
    <n v="731"/>
    <d v="2025-03-02T00:00:00"/>
    <s v="Noche"/>
    <s v="M3"/>
    <x v="0"/>
    <n v="12"/>
  </r>
  <r>
    <n v="1088"/>
    <n v="732"/>
    <d v="2025-03-02T00:00:00"/>
    <s v="Noche"/>
    <s v="M4"/>
    <x v="2"/>
    <n v="9"/>
  </r>
  <r>
    <n v="1089"/>
    <n v="733"/>
    <d v="2025-03-03T00:00:00"/>
    <s v="Mañana"/>
    <s v="M1"/>
    <x v="0"/>
    <n v="17"/>
  </r>
  <r>
    <n v="1090"/>
    <n v="734"/>
    <d v="2025-03-03T00:00:00"/>
    <s v="Mañana"/>
    <s v="M2"/>
    <x v="1"/>
    <n v="11"/>
  </r>
  <r>
    <n v="1091"/>
    <n v="734"/>
    <d v="2025-03-03T00:00:00"/>
    <s v="Mañana"/>
    <s v="M2"/>
    <x v="0"/>
    <n v="54"/>
  </r>
  <r>
    <n v="1092"/>
    <n v="734"/>
    <d v="2025-03-03T00:00:00"/>
    <s v="Mañana"/>
    <s v="M2"/>
    <x v="0"/>
    <n v="23"/>
  </r>
  <r>
    <n v="1093"/>
    <n v="735"/>
    <d v="2025-03-03T00:00:00"/>
    <s v="Mañana"/>
    <s v="M3"/>
    <x v="0"/>
    <n v="26"/>
  </r>
  <r>
    <n v="1094"/>
    <n v="735"/>
    <d v="2025-03-03T00:00:00"/>
    <s v="Mañana"/>
    <s v="M3"/>
    <x v="1"/>
    <n v="35"/>
  </r>
  <r>
    <n v="1095"/>
    <n v="736"/>
    <d v="2025-03-03T00:00:00"/>
    <s v="Mañana"/>
    <s v="M4"/>
    <x v="5"/>
    <n v="12"/>
  </r>
  <r>
    <n v="1096"/>
    <n v="736"/>
    <d v="2025-03-03T00:00:00"/>
    <s v="Mañana"/>
    <s v="M4"/>
    <x v="0"/>
    <n v="28"/>
  </r>
  <r>
    <n v="1097"/>
    <n v="736"/>
    <d v="2025-03-03T00:00:00"/>
    <s v="Mañana"/>
    <s v="M4"/>
    <x v="0"/>
    <n v="38"/>
  </r>
  <r>
    <n v="1098"/>
    <n v="737"/>
    <d v="2025-03-03T00:00:00"/>
    <s v="Tarde"/>
    <s v="M1"/>
    <x v="0"/>
    <n v="30"/>
  </r>
  <r>
    <n v="1099"/>
    <n v="737"/>
    <d v="2025-03-03T00:00:00"/>
    <s v="Tarde"/>
    <s v="M1"/>
    <x v="0"/>
    <n v="9"/>
  </r>
  <r>
    <n v="1100"/>
    <n v="738"/>
    <d v="2025-03-03T00:00:00"/>
    <s v="Tarde"/>
    <s v="M2"/>
    <x v="0"/>
    <n v="118"/>
  </r>
  <r>
    <n v="1101"/>
    <n v="740"/>
    <d v="2025-03-03T00:00:00"/>
    <s v="Tarde"/>
    <s v="M4"/>
    <x v="1"/>
    <n v="53"/>
  </r>
  <r>
    <n v="1102"/>
    <n v="741"/>
    <d v="2025-03-03T00:00:00"/>
    <s v="Noche"/>
    <s v="M1"/>
    <x v="1"/>
    <n v="5"/>
  </r>
  <r>
    <n v="1103"/>
    <n v="741"/>
    <d v="2025-03-03T00:00:00"/>
    <s v="Noche"/>
    <s v="M1"/>
    <x v="2"/>
    <n v="6"/>
  </r>
  <r>
    <n v="1104"/>
    <n v="742"/>
    <d v="2025-03-03T00:00:00"/>
    <s v="Noche"/>
    <s v="M2"/>
    <x v="0"/>
    <n v="7"/>
  </r>
  <r>
    <n v="1105"/>
    <n v="742"/>
    <d v="2025-03-03T00:00:00"/>
    <s v="Noche"/>
    <s v="M2"/>
    <x v="4"/>
    <n v="18"/>
  </r>
  <r>
    <n v="1106"/>
    <n v="743"/>
    <d v="2025-03-03T00:00:00"/>
    <s v="Noche"/>
    <s v="M3"/>
    <x v="0"/>
    <n v="5"/>
  </r>
  <r>
    <n v="1107"/>
    <n v="743"/>
    <d v="2025-03-03T00:00:00"/>
    <s v="Noche"/>
    <s v="M3"/>
    <x v="0"/>
    <n v="6"/>
  </r>
  <r>
    <n v="1108"/>
    <n v="743"/>
    <d v="2025-03-03T00:00:00"/>
    <s v="Noche"/>
    <s v="M3"/>
    <x v="0"/>
    <n v="21"/>
  </r>
  <r>
    <n v="1109"/>
    <n v="743"/>
    <d v="2025-03-03T00:00:00"/>
    <s v="Noche"/>
    <s v="M3"/>
    <x v="3"/>
    <n v="56"/>
  </r>
  <r>
    <n v="1110"/>
    <n v="745"/>
    <d v="2025-03-04T00:00:00"/>
    <s v="Mañana"/>
    <s v="M1"/>
    <x v="3"/>
    <n v="18"/>
  </r>
  <r>
    <n v="1111"/>
    <n v="747"/>
    <d v="2025-03-04T00:00:00"/>
    <s v="Mañana"/>
    <s v="M3"/>
    <x v="5"/>
    <n v="15"/>
  </r>
  <r>
    <n v="1112"/>
    <n v="747"/>
    <d v="2025-03-04T00:00:00"/>
    <s v="Mañana"/>
    <s v="M3"/>
    <x v="1"/>
    <n v="5"/>
  </r>
  <r>
    <n v="1113"/>
    <n v="747"/>
    <d v="2025-03-04T00:00:00"/>
    <s v="Mañana"/>
    <s v="M3"/>
    <x v="1"/>
    <n v="121"/>
  </r>
  <r>
    <n v="1114"/>
    <n v="749"/>
    <d v="2025-03-04T00:00:00"/>
    <s v="Tarde"/>
    <s v="M1"/>
    <x v="2"/>
    <n v="12"/>
  </r>
  <r>
    <n v="1115"/>
    <n v="749"/>
    <d v="2025-03-04T00:00:00"/>
    <s v="Tarde"/>
    <s v="M1"/>
    <x v="4"/>
    <n v="25"/>
  </r>
  <r>
    <n v="1116"/>
    <n v="751"/>
    <d v="2025-03-04T00:00:00"/>
    <s v="Tarde"/>
    <s v="M3"/>
    <x v="1"/>
    <n v="32"/>
  </r>
  <r>
    <n v="1117"/>
    <n v="752"/>
    <d v="2025-03-04T00:00:00"/>
    <s v="Tarde"/>
    <s v="M4"/>
    <x v="1"/>
    <n v="5"/>
  </r>
  <r>
    <n v="1118"/>
    <n v="753"/>
    <d v="2025-03-04T00:00:00"/>
    <s v="Noche"/>
    <s v="M1"/>
    <x v="0"/>
    <n v="49"/>
  </r>
  <r>
    <n v="1119"/>
    <n v="753"/>
    <d v="2025-03-04T00:00:00"/>
    <s v="Noche"/>
    <s v="M1"/>
    <x v="5"/>
    <n v="5"/>
  </r>
  <r>
    <n v="1120"/>
    <n v="754"/>
    <d v="2025-03-04T00:00:00"/>
    <s v="Noche"/>
    <s v="M2"/>
    <x v="2"/>
    <n v="5"/>
  </r>
  <r>
    <n v="1121"/>
    <n v="755"/>
    <d v="2025-03-04T00:00:00"/>
    <s v="Noche"/>
    <s v="M3"/>
    <x v="5"/>
    <n v="8"/>
  </r>
  <r>
    <n v="1122"/>
    <n v="755"/>
    <d v="2025-03-04T00:00:00"/>
    <s v="Noche"/>
    <s v="M3"/>
    <x v="0"/>
    <n v="35"/>
  </r>
  <r>
    <n v="1123"/>
    <n v="756"/>
    <d v="2025-03-04T00:00:00"/>
    <s v="Noche"/>
    <s v="M4"/>
    <x v="0"/>
    <n v="9"/>
  </r>
  <r>
    <n v="1124"/>
    <n v="757"/>
    <d v="2025-03-05T00:00:00"/>
    <s v="Mañana"/>
    <s v="M1"/>
    <x v="0"/>
    <n v="38"/>
  </r>
  <r>
    <n v="1125"/>
    <n v="758"/>
    <d v="2025-03-05T00:00:00"/>
    <s v="Mañana"/>
    <s v="M2"/>
    <x v="0"/>
    <n v="5"/>
  </r>
  <r>
    <n v="1126"/>
    <n v="759"/>
    <d v="2025-03-05T00:00:00"/>
    <s v="Mañana"/>
    <s v="M3"/>
    <x v="2"/>
    <n v="5"/>
  </r>
  <r>
    <n v="1127"/>
    <n v="759"/>
    <d v="2025-03-05T00:00:00"/>
    <s v="Mañana"/>
    <s v="M3"/>
    <x v="0"/>
    <n v="50"/>
  </r>
  <r>
    <n v="1128"/>
    <n v="759"/>
    <d v="2025-03-05T00:00:00"/>
    <s v="Mañana"/>
    <s v="M3"/>
    <x v="4"/>
    <n v="82"/>
  </r>
  <r>
    <n v="1129"/>
    <n v="761"/>
    <d v="2025-03-05T00:00:00"/>
    <s v="Tarde"/>
    <s v="M1"/>
    <x v="1"/>
    <n v="57"/>
  </r>
  <r>
    <n v="1130"/>
    <n v="761"/>
    <d v="2025-03-05T00:00:00"/>
    <s v="Tarde"/>
    <s v="M1"/>
    <x v="0"/>
    <n v="46"/>
  </r>
  <r>
    <n v="1131"/>
    <n v="761"/>
    <d v="2025-03-05T00:00:00"/>
    <s v="Tarde"/>
    <s v="M1"/>
    <x v="0"/>
    <n v="142"/>
  </r>
  <r>
    <n v="1132"/>
    <n v="761"/>
    <d v="2025-03-05T00:00:00"/>
    <s v="Tarde"/>
    <s v="M1"/>
    <x v="0"/>
    <n v="39"/>
  </r>
  <r>
    <n v="1133"/>
    <n v="763"/>
    <d v="2025-03-05T00:00:00"/>
    <s v="Tarde"/>
    <s v="M3"/>
    <x v="0"/>
    <n v="64"/>
  </r>
  <r>
    <n v="1134"/>
    <n v="766"/>
    <d v="2025-03-05T00:00:00"/>
    <s v="Noche"/>
    <s v="M2"/>
    <x v="2"/>
    <n v="82"/>
  </r>
  <r>
    <n v="1135"/>
    <n v="766"/>
    <d v="2025-03-05T00:00:00"/>
    <s v="Noche"/>
    <s v="M2"/>
    <x v="0"/>
    <n v="15"/>
  </r>
  <r>
    <n v="1136"/>
    <n v="767"/>
    <d v="2025-03-05T00:00:00"/>
    <s v="Noche"/>
    <s v="M3"/>
    <x v="4"/>
    <n v="5"/>
  </r>
  <r>
    <n v="1137"/>
    <n v="767"/>
    <d v="2025-03-05T00:00:00"/>
    <s v="Noche"/>
    <s v="M3"/>
    <x v="1"/>
    <n v="71"/>
  </r>
  <r>
    <n v="1138"/>
    <n v="768"/>
    <d v="2025-03-05T00:00:00"/>
    <s v="Noche"/>
    <s v="M4"/>
    <x v="0"/>
    <n v="16"/>
  </r>
  <r>
    <n v="1139"/>
    <n v="768"/>
    <d v="2025-03-05T00:00:00"/>
    <s v="Noche"/>
    <s v="M4"/>
    <x v="0"/>
    <n v="6"/>
  </r>
  <r>
    <n v="1140"/>
    <n v="768"/>
    <d v="2025-03-05T00:00:00"/>
    <s v="Noche"/>
    <s v="M4"/>
    <x v="0"/>
    <n v="24"/>
  </r>
  <r>
    <n v="1141"/>
    <n v="771"/>
    <d v="2025-03-06T00:00:00"/>
    <s v="Mañana"/>
    <s v="M3"/>
    <x v="2"/>
    <n v="22"/>
  </r>
  <r>
    <n v="1142"/>
    <n v="771"/>
    <d v="2025-03-06T00:00:00"/>
    <s v="Mañana"/>
    <s v="M3"/>
    <x v="1"/>
    <n v="29"/>
  </r>
  <r>
    <n v="1143"/>
    <n v="772"/>
    <d v="2025-03-06T00:00:00"/>
    <s v="Mañana"/>
    <s v="M4"/>
    <x v="3"/>
    <n v="10"/>
  </r>
  <r>
    <n v="1144"/>
    <n v="772"/>
    <d v="2025-03-06T00:00:00"/>
    <s v="Mañana"/>
    <s v="M4"/>
    <x v="1"/>
    <n v="33"/>
  </r>
  <r>
    <n v="1145"/>
    <n v="772"/>
    <d v="2025-03-06T00:00:00"/>
    <s v="Mañana"/>
    <s v="M4"/>
    <x v="3"/>
    <n v="254"/>
  </r>
  <r>
    <n v="1146"/>
    <n v="773"/>
    <d v="2025-03-06T00:00:00"/>
    <s v="Tarde"/>
    <s v="M1"/>
    <x v="5"/>
    <n v="36"/>
  </r>
  <r>
    <n v="1147"/>
    <n v="774"/>
    <d v="2025-03-06T00:00:00"/>
    <s v="Tarde"/>
    <s v="M2"/>
    <x v="0"/>
    <n v="64"/>
  </r>
  <r>
    <n v="1148"/>
    <n v="776"/>
    <d v="2025-03-06T00:00:00"/>
    <s v="Tarde"/>
    <s v="M4"/>
    <x v="0"/>
    <n v="109"/>
  </r>
  <r>
    <n v="1149"/>
    <n v="777"/>
    <d v="2025-03-06T00:00:00"/>
    <s v="Noche"/>
    <s v="M1"/>
    <x v="0"/>
    <n v="21"/>
  </r>
  <r>
    <n v="1150"/>
    <n v="778"/>
    <d v="2025-03-06T00:00:00"/>
    <s v="Noche"/>
    <s v="M2"/>
    <x v="1"/>
    <n v="15"/>
  </r>
  <r>
    <n v="1151"/>
    <n v="780"/>
    <d v="2025-03-06T00:00:00"/>
    <s v="Noche"/>
    <s v="M4"/>
    <x v="0"/>
    <n v="48"/>
  </r>
  <r>
    <n v="1152"/>
    <n v="780"/>
    <d v="2025-03-06T00:00:00"/>
    <s v="Noche"/>
    <s v="M4"/>
    <x v="3"/>
    <n v="148"/>
  </r>
  <r>
    <n v="1153"/>
    <n v="783"/>
    <d v="2025-03-07T00:00:00"/>
    <s v="Mañana"/>
    <s v="M3"/>
    <x v="2"/>
    <n v="5"/>
  </r>
  <r>
    <n v="1154"/>
    <n v="784"/>
    <d v="2025-03-07T00:00:00"/>
    <s v="Mañana"/>
    <s v="M4"/>
    <x v="3"/>
    <n v="103"/>
  </r>
  <r>
    <n v="1155"/>
    <n v="784"/>
    <d v="2025-03-07T00:00:00"/>
    <s v="Mañana"/>
    <s v="M4"/>
    <x v="0"/>
    <n v="5"/>
  </r>
  <r>
    <n v="1156"/>
    <n v="785"/>
    <d v="2025-03-07T00:00:00"/>
    <s v="Tarde"/>
    <s v="M1"/>
    <x v="1"/>
    <n v="39"/>
  </r>
  <r>
    <n v="1157"/>
    <n v="785"/>
    <d v="2025-03-07T00:00:00"/>
    <s v="Tarde"/>
    <s v="M1"/>
    <x v="0"/>
    <n v="20"/>
  </r>
  <r>
    <n v="1158"/>
    <n v="785"/>
    <d v="2025-03-07T00:00:00"/>
    <s v="Tarde"/>
    <s v="M1"/>
    <x v="1"/>
    <n v="5"/>
  </r>
  <r>
    <n v="1159"/>
    <n v="785"/>
    <d v="2025-03-07T00:00:00"/>
    <s v="Tarde"/>
    <s v="M1"/>
    <x v="2"/>
    <n v="15"/>
  </r>
  <r>
    <n v="1160"/>
    <n v="786"/>
    <d v="2025-03-07T00:00:00"/>
    <s v="Tarde"/>
    <s v="M2"/>
    <x v="4"/>
    <n v="13"/>
  </r>
  <r>
    <n v="1161"/>
    <n v="786"/>
    <d v="2025-03-07T00:00:00"/>
    <s v="Tarde"/>
    <s v="M2"/>
    <x v="1"/>
    <n v="29"/>
  </r>
  <r>
    <n v="1162"/>
    <n v="786"/>
    <d v="2025-03-07T00:00:00"/>
    <s v="Tarde"/>
    <s v="M2"/>
    <x v="2"/>
    <n v="5"/>
  </r>
  <r>
    <n v="1163"/>
    <n v="787"/>
    <d v="2025-03-07T00:00:00"/>
    <s v="Tarde"/>
    <s v="M3"/>
    <x v="0"/>
    <n v="59"/>
  </r>
  <r>
    <n v="1164"/>
    <n v="789"/>
    <d v="2025-03-07T00:00:00"/>
    <s v="Noche"/>
    <s v="M1"/>
    <x v="0"/>
    <n v="5"/>
  </r>
  <r>
    <n v="1165"/>
    <n v="789"/>
    <d v="2025-03-07T00:00:00"/>
    <s v="Noche"/>
    <s v="M1"/>
    <x v="2"/>
    <n v="12"/>
  </r>
  <r>
    <n v="1166"/>
    <n v="789"/>
    <d v="2025-03-07T00:00:00"/>
    <s v="Noche"/>
    <s v="M1"/>
    <x v="2"/>
    <n v="5"/>
  </r>
  <r>
    <n v="1167"/>
    <n v="790"/>
    <d v="2025-03-07T00:00:00"/>
    <s v="Noche"/>
    <s v="M2"/>
    <x v="5"/>
    <n v="13"/>
  </r>
  <r>
    <n v="1168"/>
    <n v="790"/>
    <d v="2025-03-07T00:00:00"/>
    <s v="Noche"/>
    <s v="M2"/>
    <x v="0"/>
    <n v="12"/>
  </r>
  <r>
    <n v="1169"/>
    <n v="791"/>
    <d v="2025-03-07T00:00:00"/>
    <s v="Noche"/>
    <s v="M3"/>
    <x v="4"/>
    <n v="27"/>
  </r>
  <r>
    <n v="1170"/>
    <n v="793"/>
    <d v="2025-03-08T00:00:00"/>
    <s v="Mañana"/>
    <s v="M1"/>
    <x v="4"/>
    <n v="40"/>
  </r>
  <r>
    <n v="1171"/>
    <n v="793"/>
    <d v="2025-03-08T00:00:00"/>
    <s v="Mañana"/>
    <s v="M1"/>
    <x v="2"/>
    <n v="25"/>
  </r>
  <r>
    <n v="1172"/>
    <n v="793"/>
    <d v="2025-03-08T00:00:00"/>
    <s v="Mañana"/>
    <s v="M1"/>
    <x v="2"/>
    <n v="13"/>
  </r>
  <r>
    <n v="1173"/>
    <n v="794"/>
    <d v="2025-03-08T00:00:00"/>
    <s v="Mañana"/>
    <s v="M2"/>
    <x v="3"/>
    <n v="45"/>
  </r>
  <r>
    <n v="1174"/>
    <n v="794"/>
    <d v="2025-03-08T00:00:00"/>
    <s v="Mañana"/>
    <s v="M2"/>
    <x v="1"/>
    <n v="23"/>
  </r>
  <r>
    <n v="1175"/>
    <n v="796"/>
    <d v="2025-03-08T00:00:00"/>
    <s v="Mañana"/>
    <s v="M4"/>
    <x v="0"/>
    <n v="23"/>
  </r>
  <r>
    <n v="1176"/>
    <n v="797"/>
    <d v="2025-03-08T00:00:00"/>
    <s v="Tarde"/>
    <s v="M1"/>
    <x v="0"/>
    <n v="187"/>
  </r>
  <r>
    <n v="1177"/>
    <n v="798"/>
    <d v="2025-03-08T00:00:00"/>
    <s v="Tarde"/>
    <s v="M2"/>
    <x v="3"/>
    <n v="11"/>
  </r>
  <r>
    <n v="1178"/>
    <n v="799"/>
    <d v="2025-03-08T00:00:00"/>
    <s v="Tarde"/>
    <s v="M3"/>
    <x v="0"/>
    <n v="18"/>
  </r>
  <r>
    <n v="1179"/>
    <n v="799"/>
    <d v="2025-03-08T00:00:00"/>
    <s v="Tarde"/>
    <s v="M3"/>
    <x v="0"/>
    <n v="199"/>
  </r>
  <r>
    <n v="1180"/>
    <n v="799"/>
    <d v="2025-03-08T00:00:00"/>
    <s v="Tarde"/>
    <s v="M3"/>
    <x v="2"/>
    <n v="26"/>
  </r>
  <r>
    <n v="1181"/>
    <n v="799"/>
    <d v="2025-03-08T00:00:00"/>
    <s v="Tarde"/>
    <s v="M3"/>
    <x v="1"/>
    <n v="7"/>
  </r>
  <r>
    <n v="1182"/>
    <n v="800"/>
    <d v="2025-03-08T00:00:00"/>
    <s v="Tarde"/>
    <s v="M4"/>
    <x v="0"/>
    <n v="95"/>
  </r>
  <r>
    <n v="1183"/>
    <n v="801"/>
    <d v="2025-03-08T00:00:00"/>
    <s v="Noche"/>
    <s v="M1"/>
    <x v="1"/>
    <n v="52"/>
  </r>
  <r>
    <n v="1184"/>
    <n v="802"/>
    <d v="2025-03-08T00:00:00"/>
    <s v="Noche"/>
    <s v="M2"/>
    <x v="1"/>
    <n v="11"/>
  </r>
  <r>
    <n v="1185"/>
    <n v="802"/>
    <d v="2025-03-08T00:00:00"/>
    <s v="Noche"/>
    <s v="M2"/>
    <x v="2"/>
    <n v="29"/>
  </r>
  <r>
    <n v="1186"/>
    <n v="803"/>
    <d v="2025-03-08T00:00:00"/>
    <s v="Noche"/>
    <s v="M3"/>
    <x v="4"/>
    <n v="59"/>
  </r>
  <r>
    <n v="1187"/>
    <n v="803"/>
    <d v="2025-03-08T00:00:00"/>
    <s v="Noche"/>
    <s v="M3"/>
    <x v="0"/>
    <n v="124"/>
  </r>
  <r>
    <n v="1188"/>
    <n v="803"/>
    <d v="2025-03-08T00:00:00"/>
    <s v="Noche"/>
    <s v="M3"/>
    <x v="5"/>
    <n v="23"/>
  </r>
  <r>
    <n v="1189"/>
    <n v="804"/>
    <d v="2025-03-08T00:00:00"/>
    <s v="Noche"/>
    <s v="M4"/>
    <x v="0"/>
    <n v="34"/>
  </r>
  <r>
    <n v="1190"/>
    <n v="804"/>
    <d v="2025-03-08T00:00:00"/>
    <s v="Noche"/>
    <s v="M4"/>
    <x v="2"/>
    <n v="20"/>
  </r>
  <r>
    <n v="1191"/>
    <n v="804"/>
    <d v="2025-03-08T00:00:00"/>
    <s v="Noche"/>
    <s v="M4"/>
    <x v="0"/>
    <n v="145"/>
  </r>
  <r>
    <n v="1192"/>
    <n v="806"/>
    <d v="2025-03-09T00:00:00"/>
    <s v="Mañana"/>
    <s v="M2"/>
    <x v="2"/>
    <n v="12"/>
  </r>
  <r>
    <n v="1193"/>
    <n v="806"/>
    <d v="2025-03-09T00:00:00"/>
    <s v="Mañana"/>
    <s v="M2"/>
    <x v="2"/>
    <n v="5"/>
  </r>
  <r>
    <n v="1194"/>
    <n v="807"/>
    <d v="2025-03-09T00:00:00"/>
    <s v="Mañana"/>
    <s v="M3"/>
    <x v="1"/>
    <n v="5"/>
  </r>
  <r>
    <n v="1195"/>
    <n v="807"/>
    <d v="2025-03-09T00:00:00"/>
    <s v="Mañana"/>
    <s v="M3"/>
    <x v="4"/>
    <n v="23"/>
  </r>
  <r>
    <n v="1196"/>
    <n v="808"/>
    <d v="2025-03-09T00:00:00"/>
    <s v="Mañana"/>
    <s v="M4"/>
    <x v="1"/>
    <n v="8"/>
  </r>
  <r>
    <n v="1197"/>
    <n v="809"/>
    <d v="2025-03-09T00:00:00"/>
    <s v="Tarde"/>
    <s v="M1"/>
    <x v="0"/>
    <n v="35"/>
  </r>
  <r>
    <n v="1198"/>
    <n v="809"/>
    <d v="2025-03-09T00:00:00"/>
    <s v="Tarde"/>
    <s v="M1"/>
    <x v="2"/>
    <n v="5"/>
  </r>
  <r>
    <n v="1199"/>
    <n v="809"/>
    <d v="2025-03-09T00:00:00"/>
    <s v="Tarde"/>
    <s v="M1"/>
    <x v="2"/>
    <n v="38"/>
  </r>
  <r>
    <n v="1200"/>
    <n v="812"/>
    <d v="2025-03-09T00:00:00"/>
    <s v="Tarde"/>
    <s v="M4"/>
    <x v="5"/>
    <n v="5"/>
  </r>
  <r>
    <n v="1201"/>
    <n v="813"/>
    <d v="2025-03-09T00:00:00"/>
    <s v="Noche"/>
    <s v="M1"/>
    <x v="4"/>
    <n v="22"/>
  </r>
  <r>
    <n v="1202"/>
    <n v="813"/>
    <d v="2025-03-09T00:00:00"/>
    <s v="Noche"/>
    <s v="M1"/>
    <x v="0"/>
    <n v="25"/>
  </r>
  <r>
    <n v="1203"/>
    <n v="814"/>
    <d v="2025-03-09T00:00:00"/>
    <s v="Noche"/>
    <s v="M2"/>
    <x v="2"/>
    <n v="33"/>
  </r>
  <r>
    <n v="1204"/>
    <n v="815"/>
    <d v="2025-03-09T00:00:00"/>
    <s v="Noche"/>
    <s v="M3"/>
    <x v="5"/>
    <n v="10"/>
  </r>
  <r>
    <n v="1205"/>
    <n v="815"/>
    <d v="2025-03-09T00:00:00"/>
    <s v="Noche"/>
    <s v="M3"/>
    <x v="2"/>
    <n v="13"/>
  </r>
  <r>
    <n v="1206"/>
    <n v="816"/>
    <d v="2025-03-09T00:00:00"/>
    <s v="Noche"/>
    <s v="M4"/>
    <x v="2"/>
    <n v="17"/>
  </r>
  <r>
    <n v="1207"/>
    <n v="817"/>
    <d v="2025-03-10T00:00:00"/>
    <s v="Mañana"/>
    <s v="M1"/>
    <x v="0"/>
    <n v="12"/>
  </r>
  <r>
    <n v="1208"/>
    <n v="820"/>
    <d v="2025-03-10T00:00:00"/>
    <s v="Mañana"/>
    <s v="M4"/>
    <x v="2"/>
    <n v="67"/>
  </r>
  <r>
    <n v="1209"/>
    <n v="821"/>
    <d v="2025-03-10T00:00:00"/>
    <s v="Tarde"/>
    <s v="M1"/>
    <x v="5"/>
    <n v="5"/>
  </r>
  <r>
    <n v="1210"/>
    <n v="822"/>
    <d v="2025-03-10T00:00:00"/>
    <s v="Tarde"/>
    <s v="M2"/>
    <x v="2"/>
    <n v="5"/>
  </r>
  <r>
    <n v="1211"/>
    <n v="822"/>
    <d v="2025-03-10T00:00:00"/>
    <s v="Tarde"/>
    <s v="M2"/>
    <x v="1"/>
    <n v="5"/>
  </r>
  <r>
    <n v="1212"/>
    <n v="823"/>
    <d v="2025-03-10T00:00:00"/>
    <s v="Tarde"/>
    <s v="M3"/>
    <x v="0"/>
    <n v="106"/>
  </r>
  <r>
    <n v="1213"/>
    <n v="823"/>
    <d v="2025-03-10T00:00:00"/>
    <s v="Tarde"/>
    <s v="M3"/>
    <x v="0"/>
    <n v="8"/>
  </r>
  <r>
    <n v="1214"/>
    <n v="825"/>
    <d v="2025-03-10T00:00:00"/>
    <s v="Noche"/>
    <s v="M1"/>
    <x v="0"/>
    <n v="54"/>
  </r>
  <r>
    <n v="1215"/>
    <n v="825"/>
    <d v="2025-03-10T00:00:00"/>
    <s v="Noche"/>
    <s v="M1"/>
    <x v="1"/>
    <n v="135"/>
  </r>
  <r>
    <n v="1216"/>
    <n v="827"/>
    <d v="2025-03-10T00:00:00"/>
    <s v="Noche"/>
    <s v="M3"/>
    <x v="0"/>
    <n v="15"/>
  </r>
  <r>
    <n v="1217"/>
    <n v="827"/>
    <d v="2025-03-10T00:00:00"/>
    <s v="Noche"/>
    <s v="M3"/>
    <x v="2"/>
    <n v="28"/>
  </r>
  <r>
    <n v="1218"/>
    <n v="827"/>
    <d v="2025-03-10T00:00:00"/>
    <s v="Noche"/>
    <s v="M3"/>
    <x v="2"/>
    <n v="5"/>
  </r>
  <r>
    <n v="1219"/>
    <n v="827"/>
    <d v="2025-03-10T00:00:00"/>
    <s v="Noche"/>
    <s v="M3"/>
    <x v="0"/>
    <n v="5"/>
  </r>
  <r>
    <n v="1220"/>
    <n v="828"/>
    <d v="2025-03-10T00:00:00"/>
    <s v="Noche"/>
    <s v="M4"/>
    <x v="0"/>
    <n v="93"/>
  </r>
  <r>
    <n v="1221"/>
    <n v="828"/>
    <d v="2025-03-10T00:00:00"/>
    <s v="Noche"/>
    <s v="M4"/>
    <x v="5"/>
    <n v="5"/>
  </r>
  <r>
    <n v="1222"/>
    <n v="828"/>
    <d v="2025-03-10T00:00:00"/>
    <s v="Noche"/>
    <s v="M4"/>
    <x v="2"/>
    <n v="13"/>
  </r>
  <r>
    <n v="1223"/>
    <n v="829"/>
    <d v="2025-03-11T00:00:00"/>
    <s v="Mañana"/>
    <s v="M1"/>
    <x v="0"/>
    <n v="9"/>
  </r>
  <r>
    <n v="1224"/>
    <n v="829"/>
    <d v="2025-03-11T00:00:00"/>
    <s v="Mañana"/>
    <s v="M1"/>
    <x v="0"/>
    <n v="61"/>
  </r>
  <r>
    <n v="1225"/>
    <n v="830"/>
    <d v="2025-03-11T00:00:00"/>
    <s v="Mañana"/>
    <s v="M2"/>
    <x v="0"/>
    <n v="12"/>
  </r>
  <r>
    <n v="1226"/>
    <n v="831"/>
    <d v="2025-03-11T00:00:00"/>
    <s v="Mañana"/>
    <s v="M3"/>
    <x v="3"/>
    <n v="5"/>
  </r>
  <r>
    <n v="1227"/>
    <n v="832"/>
    <d v="2025-03-11T00:00:00"/>
    <s v="Mañana"/>
    <s v="M4"/>
    <x v="5"/>
    <n v="10"/>
  </r>
  <r>
    <n v="1228"/>
    <n v="834"/>
    <d v="2025-03-11T00:00:00"/>
    <s v="Tarde"/>
    <s v="M2"/>
    <x v="0"/>
    <n v="157"/>
  </r>
  <r>
    <n v="1229"/>
    <n v="835"/>
    <d v="2025-03-11T00:00:00"/>
    <s v="Tarde"/>
    <s v="M3"/>
    <x v="0"/>
    <n v="53"/>
  </r>
  <r>
    <n v="1230"/>
    <n v="835"/>
    <d v="2025-03-11T00:00:00"/>
    <s v="Tarde"/>
    <s v="M3"/>
    <x v="1"/>
    <n v="45"/>
  </r>
  <r>
    <n v="1231"/>
    <n v="838"/>
    <d v="2025-03-11T00:00:00"/>
    <s v="Noche"/>
    <s v="M2"/>
    <x v="3"/>
    <n v="17"/>
  </r>
  <r>
    <n v="1232"/>
    <n v="838"/>
    <d v="2025-03-11T00:00:00"/>
    <s v="Noche"/>
    <s v="M2"/>
    <x v="0"/>
    <n v="23"/>
  </r>
  <r>
    <n v="1233"/>
    <n v="838"/>
    <d v="2025-03-11T00:00:00"/>
    <s v="Noche"/>
    <s v="M2"/>
    <x v="0"/>
    <n v="30"/>
  </r>
  <r>
    <n v="1234"/>
    <n v="839"/>
    <d v="2025-03-11T00:00:00"/>
    <s v="Noche"/>
    <s v="M3"/>
    <x v="0"/>
    <n v="20"/>
  </r>
  <r>
    <n v="1235"/>
    <n v="839"/>
    <d v="2025-03-11T00:00:00"/>
    <s v="Noche"/>
    <s v="M3"/>
    <x v="2"/>
    <n v="5"/>
  </r>
  <r>
    <n v="1236"/>
    <n v="841"/>
    <d v="2025-03-12T00:00:00"/>
    <s v="Mañana"/>
    <s v="M1"/>
    <x v="3"/>
    <n v="91"/>
  </r>
  <r>
    <n v="1237"/>
    <n v="842"/>
    <d v="2025-03-12T00:00:00"/>
    <s v="Mañana"/>
    <s v="M2"/>
    <x v="2"/>
    <n v="37"/>
  </r>
  <r>
    <n v="1238"/>
    <n v="842"/>
    <d v="2025-03-12T00:00:00"/>
    <s v="Mañana"/>
    <s v="M2"/>
    <x v="1"/>
    <n v="31"/>
  </r>
  <r>
    <n v="1239"/>
    <n v="843"/>
    <d v="2025-03-12T00:00:00"/>
    <s v="Mañana"/>
    <s v="M3"/>
    <x v="2"/>
    <n v="26"/>
  </r>
  <r>
    <n v="1240"/>
    <n v="846"/>
    <d v="2025-03-12T00:00:00"/>
    <s v="Tarde"/>
    <s v="M2"/>
    <x v="2"/>
    <n v="15"/>
  </r>
  <r>
    <n v="1241"/>
    <n v="847"/>
    <d v="2025-03-12T00:00:00"/>
    <s v="Tarde"/>
    <s v="M3"/>
    <x v="0"/>
    <n v="85"/>
  </r>
  <r>
    <n v="1242"/>
    <n v="848"/>
    <d v="2025-03-12T00:00:00"/>
    <s v="Tarde"/>
    <s v="M4"/>
    <x v="0"/>
    <n v="45"/>
  </r>
  <r>
    <n v="1243"/>
    <n v="848"/>
    <d v="2025-03-12T00:00:00"/>
    <s v="Tarde"/>
    <s v="M4"/>
    <x v="2"/>
    <n v="52"/>
  </r>
  <r>
    <n v="1244"/>
    <n v="848"/>
    <d v="2025-03-12T00:00:00"/>
    <s v="Tarde"/>
    <s v="M4"/>
    <x v="0"/>
    <n v="35"/>
  </r>
  <r>
    <n v="1245"/>
    <n v="849"/>
    <d v="2025-03-12T00:00:00"/>
    <s v="Noche"/>
    <s v="M1"/>
    <x v="5"/>
    <n v="5"/>
  </r>
  <r>
    <n v="1246"/>
    <n v="850"/>
    <d v="2025-03-12T00:00:00"/>
    <s v="Noche"/>
    <s v="M2"/>
    <x v="2"/>
    <n v="40"/>
  </r>
  <r>
    <n v="1247"/>
    <n v="850"/>
    <d v="2025-03-12T00:00:00"/>
    <s v="Noche"/>
    <s v="M2"/>
    <x v="2"/>
    <n v="67"/>
  </r>
  <r>
    <n v="1248"/>
    <n v="851"/>
    <d v="2025-03-12T00:00:00"/>
    <s v="Noche"/>
    <s v="M3"/>
    <x v="4"/>
    <n v="53"/>
  </r>
  <r>
    <n v="1249"/>
    <n v="851"/>
    <d v="2025-03-12T00:00:00"/>
    <s v="Noche"/>
    <s v="M3"/>
    <x v="2"/>
    <n v="5"/>
  </r>
  <r>
    <n v="1250"/>
    <n v="852"/>
    <d v="2025-03-12T00:00:00"/>
    <s v="Noche"/>
    <s v="M4"/>
    <x v="5"/>
    <n v="7"/>
  </r>
  <r>
    <n v="1251"/>
    <n v="852"/>
    <d v="2025-03-12T00:00:00"/>
    <s v="Noche"/>
    <s v="M4"/>
    <x v="2"/>
    <n v="9"/>
  </r>
  <r>
    <n v="1252"/>
    <n v="853"/>
    <d v="2025-03-13T00:00:00"/>
    <s v="Mañana"/>
    <s v="M1"/>
    <x v="1"/>
    <n v="9"/>
  </r>
  <r>
    <n v="1253"/>
    <n v="853"/>
    <d v="2025-03-13T00:00:00"/>
    <s v="Mañana"/>
    <s v="M1"/>
    <x v="0"/>
    <n v="121"/>
  </r>
  <r>
    <n v="1254"/>
    <n v="854"/>
    <d v="2025-03-13T00:00:00"/>
    <s v="Mañana"/>
    <s v="M2"/>
    <x v="1"/>
    <n v="21"/>
  </r>
  <r>
    <n v="1255"/>
    <n v="856"/>
    <d v="2025-03-13T00:00:00"/>
    <s v="Mañana"/>
    <s v="M4"/>
    <x v="0"/>
    <n v="5"/>
  </r>
  <r>
    <n v="1256"/>
    <n v="857"/>
    <d v="2025-03-13T00:00:00"/>
    <s v="Tarde"/>
    <s v="M1"/>
    <x v="1"/>
    <n v="5"/>
  </r>
  <r>
    <n v="1257"/>
    <n v="858"/>
    <d v="2025-03-13T00:00:00"/>
    <s v="Tarde"/>
    <s v="M2"/>
    <x v="1"/>
    <n v="31"/>
  </r>
  <r>
    <n v="1258"/>
    <n v="860"/>
    <d v="2025-03-13T00:00:00"/>
    <s v="Tarde"/>
    <s v="M4"/>
    <x v="2"/>
    <n v="5"/>
  </r>
  <r>
    <n v="1259"/>
    <n v="860"/>
    <d v="2025-03-13T00:00:00"/>
    <s v="Tarde"/>
    <s v="M4"/>
    <x v="2"/>
    <n v="50"/>
  </r>
  <r>
    <n v="1260"/>
    <n v="861"/>
    <d v="2025-03-13T00:00:00"/>
    <s v="Noche"/>
    <s v="M1"/>
    <x v="2"/>
    <n v="5"/>
  </r>
  <r>
    <n v="1261"/>
    <n v="861"/>
    <d v="2025-03-13T00:00:00"/>
    <s v="Noche"/>
    <s v="M1"/>
    <x v="2"/>
    <n v="12"/>
  </r>
  <r>
    <n v="1262"/>
    <n v="861"/>
    <d v="2025-03-13T00:00:00"/>
    <s v="Noche"/>
    <s v="M1"/>
    <x v="2"/>
    <n v="8"/>
  </r>
  <r>
    <n v="1263"/>
    <n v="862"/>
    <d v="2025-03-13T00:00:00"/>
    <s v="Noche"/>
    <s v="M2"/>
    <x v="3"/>
    <n v="145"/>
  </r>
  <r>
    <n v="1264"/>
    <n v="862"/>
    <d v="2025-03-13T00:00:00"/>
    <s v="Noche"/>
    <s v="M2"/>
    <x v="0"/>
    <n v="5"/>
  </r>
  <r>
    <n v="1265"/>
    <n v="863"/>
    <d v="2025-03-13T00:00:00"/>
    <s v="Noche"/>
    <s v="M3"/>
    <x v="0"/>
    <n v="27"/>
  </r>
  <r>
    <n v="1266"/>
    <n v="863"/>
    <d v="2025-03-13T00:00:00"/>
    <s v="Noche"/>
    <s v="M3"/>
    <x v="1"/>
    <n v="24"/>
  </r>
  <r>
    <n v="1267"/>
    <n v="863"/>
    <d v="2025-03-13T00:00:00"/>
    <s v="Noche"/>
    <s v="M3"/>
    <x v="1"/>
    <n v="9"/>
  </r>
  <r>
    <n v="1268"/>
    <n v="863"/>
    <d v="2025-03-13T00:00:00"/>
    <s v="Noche"/>
    <s v="M3"/>
    <x v="2"/>
    <n v="5"/>
  </r>
  <r>
    <n v="1269"/>
    <n v="864"/>
    <d v="2025-03-13T00:00:00"/>
    <s v="Noche"/>
    <s v="M4"/>
    <x v="2"/>
    <n v="7"/>
  </r>
  <r>
    <n v="1270"/>
    <n v="864"/>
    <d v="2025-03-13T00:00:00"/>
    <s v="Noche"/>
    <s v="M4"/>
    <x v="2"/>
    <n v="38"/>
  </r>
  <r>
    <n v="1271"/>
    <n v="866"/>
    <d v="2025-03-14T00:00:00"/>
    <s v="Mañana"/>
    <s v="M2"/>
    <x v="2"/>
    <n v="56"/>
  </r>
  <r>
    <n v="1272"/>
    <n v="866"/>
    <d v="2025-03-14T00:00:00"/>
    <s v="Mañana"/>
    <s v="M2"/>
    <x v="0"/>
    <n v="19"/>
  </r>
  <r>
    <n v="1273"/>
    <n v="868"/>
    <d v="2025-03-14T00:00:00"/>
    <s v="Mañana"/>
    <s v="M4"/>
    <x v="0"/>
    <n v="13"/>
  </r>
  <r>
    <n v="1274"/>
    <n v="868"/>
    <d v="2025-03-14T00:00:00"/>
    <s v="Mañana"/>
    <s v="M4"/>
    <x v="2"/>
    <n v="5"/>
  </r>
  <r>
    <n v="1275"/>
    <n v="868"/>
    <d v="2025-03-14T00:00:00"/>
    <s v="Mañana"/>
    <s v="M4"/>
    <x v="3"/>
    <n v="87"/>
  </r>
  <r>
    <n v="1276"/>
    <n v="868"/>
    <d v="2025-03-14T00:00:00"/>
    <s v="Mañana"/>
    <s v="M4"/>
    <x v="0"/>
    <n v="40"/>
  </r>
  <r>
    <n v="1277"/>
    <n v="869"/>
    <d v="2025-03-14T00:00:00"/>
    <s v="Tarde"/>
    <s v="M1"/>
    <x v="2"/>
    <n v="5"/>
  </r>
  <r>
    <n v="1278"/>
    <n v="869"/>
    <d v="2025-03-14T00:00:00"/>
    <s v="Tarde"/>
    <s v="M1"/>
    <x v="0"/>
    <n v="33"/>
  </r>
  <r>
    <n v="1279"/>
    <n v="869"/>
    <d v="2025-03-14T00:00:00"/>
    <s v="Tarde"/>
    <s v="M1"/>
    <x v="0"/>
    <n v="5"/>
  </r>
  <r>
    <n v="1280"/>
    <n v="870"/>
    <d v="2025-03-14T00:00:00"/>
    <s v="Tarde"/>
    <s v="M2"/>
    <x v="0"/>
    <n v="36"/>
  </r>
  <r>
    <n v="1281"/>
    <n v="870"/>
    <d v="2025-03-14T00:00:00"/>
    <s v="Tarde"/>
    <s v="M2"/>
    <x v="5"/>
    <n v="86"/>
  </r>
  <r>
    <n v="1282"/>
    <n v="870"/>
    <d v="2025-03-14T00:00:00"/>
    <s v="Tarde"/>
    <s v="M2"/>
    <x v="2"/>
    <n v="7"/>
  </r>
  <r>
    <n v="1283"/>
    <n v="871"/>
    <d v="2025-03-14T00:00:00"/>
    <s v="Tarde"/>
    <s v="M3"/>
    <x v="0"/>
    <n v="13"/>
  </r>
  <r>
    <n v="1284"/>
    <n v="871"/>
    <d v="2025-03-14T00:00:00"/>
    <s v="Tarde"/>
    <s v="M3"/>
    <x v="1"/>
    <n v="89"/>
  </r>
  <r>
    <n v="1285"/>
    <n v="873"/>
    <d v="2025-03-14T00:00:00"/>
    <s v="Noche"/>
    <s v="M1"/>
    <x v="4"/>
    <n v="18"/>
  </r>
  <r>
    <n v="1286"/>
    <n v="873"/>
    <d v="2025-03-14T00:00:00"/>
    <s v="Noche"/>
    <s v="M1"/>
    <x v="0"/>
    <n v="33"/>
  </r>
  <r>
    <n v="1287"/>
    <n v="873"/>
    <d v="2025-03-14T00:00:00"/>
    <s v="Noche"/>
    <s v="M1"/>
    <x v="0"/>
    <n v="40"/>
  </r>
  <r>
    <n v="1288"/>
    <n v="873"/>
    <d v="2025-03-14T00:00:00"/>
    <s v="Noche"/>
    <s v="M1"/>
    <x v="2"/>
    <n v="19"/>
  </r>
  <r>
    <n v="1289"/>
    <n v="873"/>
    <d v="2025-03-14T00:00:00"/>
    <s v="Noche"/>
    <s v="M1"/>
    <x v="0"/>
    <n v="9"/>
  </r>
  <r>
    <n v="1290"/>
    <n v="873"/>
    <d v="2025-03-14T00:00:00"/>
    <s v="Noche"/>
    <s v="M1"/>
    <x v="2"/>
    <n v="60"/>
  </r>
  <r>
    <n v="1291"/>
    <n v="874"/>
    <d v="2025-03-14T00:00:00"/>
    <s v="Noche"/>
    <s v="M2"/>
    <x v="2"/>
    <n v="5"/>
  </r>
  <r>
    <n v="1292"/>
    <n v="874"/>
    <d v="2025-03-14T00:00:00"/>
    <s v="Noche"/>
    <s v="M2"/>
    <x v="3"/>
    <n v="8"/>
  </r>
  <r>
    <n v="1293"/>
    <n v="878"/>
    <d v="2025-03-15T00:00:00"/>
    <s v="Mañana"/>
    <s v="M2"/>
    <x v="5"/>
    <n v="28"/>
  </r>
  <r>
    <n v="1294"/>
    <n v="878"/>
    <d v="2025-03-15T00:00:00"/>
    <s v="Mañana"/>
    <s v="M2"/>
    <x v="5"/>
    <n v="10"/>
  </r>
  <r>
    <n v="1295"/>
    <n v="878"/>
    <d v="2025-03-15T00:00:00"/>
    <s v="Mañana"/>
    <s v="M2"/>
    <x v="0"/>
    <n v="83"/>
  </r>
  <r>
    <n v="1296"/>
    <n v="880"/>
    <d v="2025-03-15T00:00:00"/>
    <s v="Mañana"/>
    <s v="M4"/>
    <x v="0"/>
    <n v="294"/>
  </r>
  <r>
    <n v="1297"/>
    <n v="881"/>
    <d v="2025-03-15T00:00:00"/>
    <s v="Tarde"/>
    <s v="M1"/>
    <x v="4"/>
    <n v="65"/>
  </r>
  <r>
    <n v="1298"/>
    <n v="881"/>
    <d v="2025-03-15T00:00:00"/>
    <s v="Tarde"/>
    <s v="M1"/>
    <x v="0"/>
    <n v="5"/>
  </r>
  <r>
    <n v="1299"/>
    <n v="882"/>
    <d v="2025-03-15T00:00:00"/>
    <s v="Tarde"/>
    <s v="M2"/>
    <x v="5"/>
    <n v="51"/>
  </r>
  <r>
    <n v="1300"/>
    <n v="882"/>
    <d v="2025-03-15T00:00:00"/>
    <s v="Tarde"/>
    <s v="M2"/>
    <x v="0"/>
    <n v="30"/>
  </r>
  <r>
    <n v="1301"/>
    <n v="882"/>
    <d v="2025-03-15T00:00:00"/>
    <s v="Tarde"/>
    <s v="M2"/>
    <x v="0"/>
    <n v="36"/>
  </r>
  <r>
    <n v="1302"/>
    <n v="883"/>
    <d v="2025-03-15T00:00:00"/>
    <s v="Tarde"/>
    <s v="M3"/>
    <x v="2"/>
    <n v="17"/>
  </r>
  <r>
    <n v="1303"/>
    <n v="884"/>
    <d v="2025-03-15T00:00:00"/>
    <s v="Tarde"/>
    <s v="M4"/>
    <x v="5"/>
    <n v="46"/>
  </r>
  <r>
    <n v="1304"/>
    <n v="884"/>
    <d v="2025-03-15T00:00:00"/>
    <s v="Tarde"/>
    <s v="M4"/>
    <x v="0"/>
    <n v="17"/>
  </r>
  <r>
    <n v="1305"/>
    <n v="886"/>
    <d v="2025-03-15T00:00:00"/>
    <s v="Noche"/>
    <s v="M2"/>
    <x v="2"/>
    <n v="16"/>
  </r>
  <r>
    <n v="1306"/>
    <n v="887"/>
    <d v="2025-03-15T00:00:00"/>
    <s v="Noche"/>
    <s v="M3"/>
    <x v="1"/>
    <n v="75"/>
  </r>
  <r>
    <n v="1307"/>
    <n v="888"/>
    <d v="2025-03-15T00:00:00"/>
    <s v="Noche"/>
    <s v="M4"/>
    <x v="1"/>
    <n v="15"/>
  </r>
  <r>
    <n v="1308"/>
    <n v="888"/>
    <d v="2025-03-15T00:00:00"/>
    <s v="Noche"/>
    <s v="M4"/>
    <x v="2"/>
    <n v="5"/>
  </r>
  <r>
    <n v="1309"/>
    <n v="888"/>
    <d v="2025-03-15T00:00:00"/>
    <s v="Noche"/>
    <s v="M4"/>
    <x v="0"/>
    <n v="70"/>
  </r>
  <r>
    <n v="1310"/>
    <n v="888"/>
    <d v="2025-03-15T00:00:00"/>
    <s v="Noche"/>
    <s v="M4"/>
    <x v="2"/>
    <n v="7"/>
  </r>
  <r>
    <n v="1311"/>
    <n v="889"/>
    <d v="2025-03-16T00:00:00"/>
    <s v="Mañana"/>
    <s v="M1"/>
    <x v="0"/>
    <n v="13"/>
  </r>
  <r>
    <n v="1312"/>
    <n v="890"/>
    <d v="2025-03-16T00:00:00"/>
    <s v="Mañana"/>
    <s v="M2"/>
    <x v="5"/>
    <n v="11"/>
  </r>
  <r>
    <n v="1313"/>
    <n v="890"/>
    <d v="2025-03-16T00:00:00"/>
    <s v="Mañana"/>
    <s v="M2"/>
    <x v="0"/>
    <n v="6"/>
  </r>
  <r>
    <n v="1314"/>
    <n v="891"/>
    <d v="2025-03-16T00:00:00"/>
    <s v="Mañana"/>
    <s v="M3"/>
    <x v="0"/>
    <n v="5"/>
  </r>
  <r>
    <n v="1315"/>
    <n v="891"/>
    <d v="2025-03-16T00:00:00"/>
    <s v="Mañana"/>
    <s v="M3"/>
    <x v="0"/>
    <n v="58"/>
  </r>
  <r>
    <n v="1316"/>
    <n v="892"/>
    <d v="2025-03-16T00:00:00"/>
    <s v="Mañana"/>
    <s v="M4"/>
    <x v="2"/>
    <n v="13"/>
  </r>
  <r>
    <n v="1317"/>
    <n v="892"/>
    <d v="2025-03-16T00:00:00"/>
    <s v="Mañana"/>
    <s v="M4"/>
    <x v="2"/>
    <n v="34"/>
  </r>
  <r>
    <n v="1318"/>
    <n v="893"/>
    <d v="2025-03-16T00:00:00"/>
    <s v="Tarde"/>
    <s v="M1"/>
    <x v="0"/>
    <n v="49"/>
  </r>
  <r>
    <n v="1319"/>
    <n v="893"/>
    <d v="2025-03-16T00:00:00"/>
    <s v="Tarde"/>
    <s v="M1"/>
    <x v="2"/>
    <n v="20"/>
  </r>
  <r>
    <n v="1320"/>
    <n v="893"/>
    <d v="2025-03-16T00:00:00"/>
    <s v="Tarde"/>
    <s v="M1"/>
    <x v="0"/>
    <n v="106"/>
  </r>
  <r>
    <n v="1321"/>
    <n v="894"/>
    <d v="2025-03-16T00:00:00"/>
    <s v="Tarde"/>
    <s v="M2"/>
    <x v="4"/>
    <n v="7"/>
  </r>
  <r>
    <n v="1322"/>
    <n v="894"/>
    <d v="2025-03-16T00:00:00"/>
    <s v="Tarde"/>
    <s v="M2"/>
    <x v="2"/>
    <n v="45"/>
  </r>
  <r>
    <n v="1323"/>
    <n v="894"/>
    <d v="2025-03-16T00:00:00"/>
    <s v="Tarde"/>
    <s v="M2"/>
    <x v="4"/>
    <n v="28"/>
  </r>
  <r>
    <n v="1324"/>
    <n v="895"/>
    <d v="2025-03-16T00:00:00"/>
    <s v="Tarde"/>
    <s v="M3"/>
    <x v="0"/>
    <n v="24"/>
  </r>
  <r>
    <n v="1325"/>
    <n v="895"/>
    <d v="2025-03-16T00:00:00"/>
    <s v="Tarde"/>
    <s v="M3"/>
    <x v="0"/>
    <n v="17"/>
  </r>
  <r>
    <n v="1326"/>
    <n v="896"/>
    <d v="2025-03-16T00:00:00"/>
    <s v="Tarde"/>
    <s v="M4"/>
    <x v="1"/>
    <n v="67"/>
  </r>
  <r>
    <n v="1327"/>
    <n v="896"/>
    <d v="2025-03-16T00:00:00"/>
    <s v="Tarde"/>
    <s v="M4"/>
    <x v="5"/>
    <n v="6"/>
  </r>
  <r>
    <n v="1328"/>
    <n v="898"/>
    <d v="2025-03-16T00:00:00"/>
    <s v="Noche"/>
    <s v="M2"/>
    <x v="0"/>
    <n v="88"/>
  </r>
  <r>
    <n v="1329"/>
    <n v="899"/>
    <d v="2025-03-16T00:00:00"/>
    <s v="Noche"/>
    <s v="M3"/>
    <x v="0"/>
    <n v="89"/>
  </r>
  <r>
    <n v="1330"/>
    <n v="899"/>
    <d v="2025-03-16T00:00:00"/>
    <s v="Noche"/>
    <s v="M3"/>
    <x v="0"/>
    <n v="53"/>
  </r>
  <r>
    <n v="1331"/>
    <n v="900"/>
    <d v="2025-03-16T00:00:00"/>
    <s v="Noche"/>
    <s v="M4"/>
    <x v="0"/>
    <n v="70"/>
  </r>
  <r>
    <n v="1332"/>
    <n v="901"/>
    <d v="2025-03-17T00:00:00"/>
    <s v="Mañana"/>
    <s v="M1"/>
    <x v="2"/>
    <n v="33"/>
  </r>
  <r>
    <n v="1333"/>
    <n v="901"/>
    <d v="2025-03-17T00:00:00"/>
    <s v="Mañana"/>
    <s v="M1"/>
    <x v="0"/>
    <n v="38"/>
  </r>
  <r>
    <n v="1334"/>
    <n v="901"/>
    <d v="2025-03-17T00:00:00"/>
    <s v="Mañana"/>
    <s v="M1"/>
    <x v="1"/>
    <n v="14"/>
  </r>
  <r>
    <n v="1335"/>
    <n v="902"/>
    <d v="2025-03-17T00:00:00"/>
    <s v="Mañana"/>
    <s v="M2"/>
    <x v="0"/>
    <n v="55"/>
  </r>
  <r>
    <n v="1336"/>
    <n v="902"/>
    <d v="2025-03-17T00:00:00"/>
    <s v="Mañana"/>
    <s v="M2"/>
    <x v="5"/>
    <n v="29"/>
  </r>
  <r>
    <n v="1337"/>
    <n v="902"/>
    <d v="2025-03-17T00:00:00"/>
    <s v="Mañana"/>
    <s v="M2"/>
    <x v="2"/>
    <n v="5"/>
  </r>
  <r>
    <n v="1338"/>
    <n v="902"/>
    <d v="2025-03-17T00:00:00"/>
    <s v="Mañana"/>
    <s v="M2"/>
    <x v="2"/>
    <n v="5"/>
  </r>
  <r>
    <n v="1339"/>
    <n v="902"/>
    <d v="2025-03-17T00:00:00"/>
    <s v="Mañana"/>
    <s v="M2"/>
    <x v="0"/>
    <n v="66"/>
  </r>
  <r>
    <n v="1340"/>
    <n v="903"/>
    <d v="2025-03-17T00:00:00"/>
    <s v="Mañana"/>
    <s v="M3"/>
    <x v="0"/>
    <n v="5"/>
  </r>
  <r>
    <n v="1341"/>
    <n v="903"/>
    <d v="2025-03-17T00:00:00"/>
    <s v="Mañana"/>
    <s v="M3"/>
    <x v="3"/>
    <n v="98"/>
  </r>
  <r>
    <n v="1342"/>
    <n v="904"/>
    <d v="2025-03-17T00:00:00"/>
    <s v="Mañana"/>
    <s v="M4"/>
    <x v="2"/>
    <n v="57"/>
  </r>
  <r>
    <n v="1343"/>
    <n v="904"/>
    <d v="2025-03-17T00:00:00"/>
    <s v="Mañana"/>
    <s v="M4"/>
    <x v="0"/>
    <n v="12"/>
  </r>
  <r>
    <n v="1344"/>
    <n v="906"/>
    <d v="2025-03-17T00:00:00"/>
    <s v="Tarde"/>
    <s v="M2"/>
    <x v="3"/>
    <n v="31"/>
  </r>
  <r>
    <n v="1345"/>
    <n v="906"/>
    <d v="2025-03-17T00:00:00"/>
    <s v="Tarde"/>
    <s v="M2"/>
    <x v="0"/>
    <n v="36"/>
  </r>
  <r>
    <n v="1346"/>
    <n v="906"/>
    <d v="2025-03-17T00:00:00"/>
    <s v="Tarde"/>
    <s v="M2"/>
    <x v="0"/>
    <n v="5"/>
  </r>
  <r>
    <n v="1347"/>
    <n v="907"/>
    <d v="2025-03-17T00:00:00"/>
    <s v="Tarde"/>
    <s v="M3"/>
    <x v="0"/>
    <n v="7"/>
  </r>
  <r>
    <n v="1348"/>
    <n v="907"/>
    <d v="2025-03-17T00:00:00"/>
    <s v="Tarde"/>
    <s v="M3"/>
    <x v="0"/>
    <n v="15"/>
  </r>
  <r>
    <n v="1349"/>
    <n v="907"/>
    <d v="2025-03-17T00:00:00"/>
    <s v="Tarde"/>
    <s v="M3"/>
    <x v="5"/>
    <n v="35"/>
  </r>
  <r>
    <n v="1350"/>
    <n v="908"/>
    <d v="2025-03-17T00:00:00"/>
    <s v="Tarde"/>
    <s v="M4"/>
    <x v="4"/>
    <n v="25"/>
  </r>
  <r>
    <n v="1351"/>
    <n v="908"/>
    <d v="2025-03-17T00:00:00"/>
    <s v="Tarde"/>
    <s v="M4"/>
    <x v="0"/>
    <n v="25"/>
  </r>
  <r>
    <n v="1352"/>
    <n v="909"/>
    <d v="2025-03-17T00:00:00"/>
    <s v="Noche"/>
    <s v="M1"/>
    <x v="2"/>
    <n v="13"/>
  </r>
  <r>
    <n v="1353"/>
    <n v="909"/>
    <d v="2025-03-17T00:00:00"/>
    <s v="Noche"/>
    <s v="M1"/>
    <x v="2"/>
    <n v="7"/>
  </r>
  <r>
    <n v="1354"/>
    <n v="910"/>
    <d v="2025-03-17T00:00:00"/>
    <s v="Noche"/>
    <s v="M2"/>
    <x v="2"/>
    <n v="7"/>
  </r>
  <r>
    <n v="1355"/>
    <n v="910"/>
    <d v="2025-03-17T00:00:00"/>
    <s v="Noche"/>
    <s v="M2"/>
    <x v="2"/>
    <n v="6"/>
  </r>
  <r>
    <n v="1356"/>
    <n v="910"/>
    <d v="2025-03-17T00:00:00"/>
    <s v="Noche"/>
    <s v="M2"/>
    <x v="3"/>
    <n v="22"/>
  </r>
  <r>
    <n v="1357"/>
    <n v="910"/>
    <d v="2025-03-17T00:00:00"/>
    <s v="Noche"/>
    <s v="M2"/>
    <x v="0"/>
    <n v="33"/>
  </r>
  <r>
    <n v="1358"/>
    <n v="910"/>
    <d v="2025-03-17T00:00:00"/>
    <s v="Noche"/>
    <s v="M2"/>
    <x v="0"/>
    <n v="5"/>
  </r>
  <r>
    <n v="1359"/>
    <n v="911"/>
    <d v="2025-03-17T00:00:00"/>
    <s v="Noche"/>
    <s v="M3"/>
    <x v="0"/>
    <n v="17"/>
  </r>
  <r>
    <n v="1360"/>
    <n v="911"/>
    <d v="2025-03-17T00:00:00"/>
    <s v="Noche"/>
    <s v="M3"/>
    <x v="5"/>
    <n v="5"/>
  </r>
  <r>
    <n v="1361"/>
    <n v="911"/>
    <d v="2025-03-17T00:00:00"/>
    <s v="Noche"/>
    <s v="M3"/>
    <x v="0"/>
    <n v="71"/>
  </r>
  <r>
    <n v="1362"/>
    <n v="912"/>
    <d v="2025-03-17T00:00:00"/>
    <s v="Noche"/>
    <s v="M4"/>
    <x v="4"/>
    <n v="30"/>
  </r>
  <r>
    <n v="1363"/>
    <n v="913"/>
    <d v="2025-03-18T00:00:00"/>
    <s v="Mañana"/>
    <s v="M1"/>
    <x v="5"/>
    <n v="5"/>
  </r>
  <r>
    <n v="1364"/>
    <n v="913"/>
    <d v="2025-03-18T00:00:00"/>
    <s v="Mañana"/>
    <s v="M1"/>
    <x v="0"/>
    <n v="50"/>
  </r>
  <r>
    <n v="1365"/>
    <n v="915"/>
    <d v="2025-03-18T00:00:00"/>
    <s v="Mañana"/>
    <s v="M3"/>
    <x v="2"/>
    <n v="19"/>
  </r>
  <r>
    <n v="1366"/>
    <n v="916"/>
    <d v="2025-03-18T00:00:00"/>
    <s v="Mañana"/>
    <s v="M4"/>
    <x v="0"/>
    <n v="5"/>
  </r>
  <r>
    <n v="1367"/>
    <n v="917"/>
    <d v="2025-03-18T00:00:00"/>
    <s v="Tarde"/>
    <s v="M1"/>
    <x v="2"/>
    <n v="5"/>
  </r>
  <r>
    <n v="1368"/>
    <n v="918"/>
    <d v="2025-03-18T00:00:00"/>
    <s v="Tarde"/>
    <s v="M2"/>
    <x v="0"/>
    <n v="44"/>
  </r>
  <r>
    <n v="1369"/>
    <n v="918"/>
    <d v="2025-03-18T00:00:00"/>
    <s v="Tarde"/>
    <s v="M2"/>
    <x v="0"/>
    <n v="108"/>
  </r>
  <r>
    <n v="1370"/>
    <n v="919"/>
    <d v="2025-03-18T00:00:00"/>
    <s v="Tarde"/>
    <s v="M3"/>
    <x v="2"/>
    <n v="7"/>
  </r>
  <r>
    <n v="1371"/>
    <n v="919"/>
    <d v="2025-03-18T00:00:00"/>
    <s v="Tarde"/>
    <s v="M3"/>
    <x v="2"/>
    <n v="5"/>
  </r>
  <r>
    <n v="1372"/>
    <n v="920"/>
    <d v="2025-03-18T00:00:00"/>
    <s v="Tarde"/>
    <s v="M4"/>
    <x v="1"/>
    <n v="12"/>
  </r>
  <r>
    <n v="1373"/>
    <n v="922"/>
    <d v="2025-03-18T00:00:00"/>
    <s v="Noche"/>
    <s v="M2"/>
    <x v="0"/>
    <n v="17"/>
  </r>
  <r>
    <n v="1374"/>
    <n v="923"/>
    <d v="2025-03-18T00:00:00"/>
    <s v="Noche"/>
    <s v="M3"/>
    <x v="2"/>
    <n v="5"/>
  </r>
  <r>
    <n v="1375"/>
    <n v="924"/>
    <d v="2025-03-18T00:00:00"/>
    <s v="Noche"/>
    <s v="M4"/>
    <x v="4"/>
    <n v="41"/>
  </r>
  <r>
    <n v="1376"/>
    <n v="924"/>
    <d v="2025-03-18T00:00:00"/>
    <s v="Noche"/>
    <s v="M4"/>
    <x v="0"/>
    <n v="17"/>
  </r>
  <r>
    <n v="1377"/>
    <n v="924"/>
    <d v="2025-03-18T00:00:00"/>
    <s v="Noche"/>
    <s v="M4"/>
    <x v="2"/>
    <n v="5"/>
  </r>
  <r>
    <n v="1378"/>
    <n v="925"/>
    <d v="2025-03-19T00:00:00"/>
    <s v="Mañana"/>
    <s v="M1"/>
    <x v="0"/>
    <n v="11"/>
  </r>
  <r>
    <n v="1379"/>
    <n v="926"/>
    <d v="2025-03-19T00:00:00"/>
    <s v="Mañana"/>
    <s v="M2"/>
    <x v="3"/>
    <n v="13"/>
  </r>
  <r>
    <n v="1380"/>
    <n v="928"/>
    <d v="2025-03-19T00:00:00"/>
    <s v="Mañana"/>
    <s v="M4"/>
    <x v="0"/>
    <n v="37"/>
  </r>
  <r>
    <n v="1381"/>
    <n v="928"/>
    <d v="2025-03-19T00:00:00"/>
    <s v="Mañana"/>
    <s v="M4"/>
    <x v="1"/>
    <n v="5"/>
  </r>
  <r>
    <n v="1382"/>
    <n v="928"/>
    <d v="2025-03-19T00:00:00"/>
    <s v="Mañana"/>
    <s v="M4"/>
    <x v="2"/>
    <n v="20"/>
  </r>
  <r>
    <n v="1383"/>
    <n v="929"/>
    <d v="2025-03-19T00:00:00"/>
    <s v="Tarde"/>
    <s v="M1"/>
    <x v="2"/>
    <n v="5"/>
  </r>
  <r>
    <n v="1384"/>
    <n v="930"/>
    <d v="2025-03-19T00:00:00"/>
    <s v="Tarde"/>
    <s v="M2"/>
    <x v="0"/>
    <n v="75"/>
  </r>
  <r>
    <n v="1385"/>
    <n v="930"/>
    <d v="2025-03-19T00:00:00"/>
    <s v="Tarde"/>
    <s v="M2"/>
    <x v="4"/>
    <n v="27"/>
  </r>
  <r>
    <n v="1386"/>
    <n v="931"/>
    <d v="2025-03-19T00:00:00"/>
    <s v="Tarde"/>
    <s v="M3"/>
    <x v="0"/>
    <n v="96"/>
  </r>
  <r>
    <n v="1387"/>
    <n v="932"/>
    <d v="2025-03-19T00:00:00"/>
    <s v="Tarde"/>
    <s v="M4"/>
    <x v="0"/>
    <n v="77"/>
  </r>
  <r>
    <n v="1388"/>
    <n v="933"/>
    <d v="2025-03-19T00:00:00"/>
    <s v="Noche"/>
    <s v="M1"/>
    <x v="3"/>
    <n v="61"/>
  </r>
  <r>
    <n v="1389"/>
    <n v="933"/>
    <d v="2025-03-19T00:00:00"/>
    <s v="Noche"/>
    <s v="M1"/>
    <x v="0"/>
    <n v="6"/>
  </r>
  <r>
    <n v="1390"/>
    <n v="933"/>
    <d v="2025-03-19T00:00:00"/>
    <s v="Noche"/>
    <s v="M1"/>
    <x v="5"/>
    <n v="6"/>
  </r>
  <r>
    <n v="1391"/>
    <n v="933"/>
    <d v="2025-03-19T00:00:00"/>
    <s v="Noche"/>
    <s v="M1"/>
    <x v="1"/>
    <n v="19"/>
  </r>
  <r>
    <n v="1392"/>
    <n v="935"/>
    <d v="2025-03-19T00:00:00"/>
    <s v="Noche"/>
    <s v="M3"/>
    <x v="0"/>
    <n v="9"/>
  </r>
  <r>
    <n v="1393"/>
    <n v="935"/>
    <d v="2025-03-19T00:00:00"/>
    <s v="Noche"/>
    <s v="M3"/>
    <x v="2"/>
    <n v="54"/>
  </r>
  <r>
    <n v="1394"/>
    <n v="935"/>
    <d v="2025-03-19T00:00:00"/>
    <s v="Noche"/>
    <s v="M3"/>
    <x v="5"/>
    <n v="27"/>
  </r>
  <r>
    <n v="1395"/>
    <n v="936"/>
    <d v="2025-03-19T00:00:00"/>
    <s v="Noche"/>
    <s v="M4"/>
    <x v="0"/>
    <n v="132"/>
  </r>
  <r>
    <n v="1396"/>
    <n v="938"/>
    <d v="2025-03-20T00:00:00"/>
    <s v="Mañana"/>
    <s v="M2"/>
    <x v="1"/>
    <n v="5"/>
  </r>
  <r>
    <n v="1397"/>
    <n v="938"/>
    <d v="2025-03-20T00:00:00"/>
    <s v="Mañana"/>
    <s v="M2"/>
    <x v="0"/>
    <n v="80"/>
  </r>
  <r>
    <n v="1398"/>
    <n v="939"/>
    <d v="2025-03-20T00:00:00"/>
    <s v="Mañana"/>
    <s v="M3"/>
    <x v="0"/>
    <n v="12"/>
  </r>
  <r>
    <n v="1399"/>
    <n v="940"/>
    <d v="2025-03-20T00:00:00"/>
    <s v="Mañana"/>
    <s v="M4"/>
    <x v="2"/>
    <n v="40"/>
  </r>
  <r>
    <n v="1400"/>
    <n v="940"/>
    <d v="2025-03-20T00:00:00"/>
    <s v="Mañana"/>
    <s v="M4"/>
    <x v="0"/>
    <n v="5"/>
  </r>
  <r>
    <n v="1401"/>
    <n v="941"/>
    <d v="2025-03-20T00:00:00"/>
    <s v="Tarde"/>
    <s v="M1"/>
    <x v="2"/>
    <n v="5"/>
  </r>
  <r>
    <n v="1402"/>
    <n v="941"/>
    <d v="2025-03-20T00:00:00"/>
    <s v="Tarde"/>
    <s v="M1"/>
    <x v="3"/>
    <n v="29"/>
  </r>
  <r>
    <n v="1403"/>
    <n v="941"/>
    <d v="2025-03-20T00:00:00"/>
    <s v="Tarde"/>
    <s v="M1"/>
    <x v="0"/>
    <n v="49"/>
  </r>
  <r>
    <n v="1404"/>
    <n v="941"/>
    <d v="2025-03-20T00:00:00"/>
    <s v="Tarde"/>
    <s v="M1"/>
    <x v="0"/>
    <n v="39"/>
  </r>
  <r>
    <n v="1405"/>
    <n v="942"/>
    <d v="2025-03-20T00:00:00"/>
    <s v="Tarde"/>
    <s v="M2"/>
    <x v="2"/>
    <n v="15"/>
  </r>
  <r>
    <n v="1406"/>
    <n v="943"/>
    <d v="2025-03-20T00:00:00"/>
    <s v="Tarde"/>
    <s v="M3"/>
    <x v="3"/>
    <n v="28"/>
  </r>
  <r>
    <n v="1407"/>
    <n v="943"/>
    <d v="2025-03-20T00:00:00"/>
    <s v="Tarde"/>
    <s v="M3"/>
    <x v="1"/>
    <n v="5"/>
  </r>
  <r>
    <n v="1408"/>
    <n v="944"/>
    <d v="2025-03-20T00:00:00"/>
    <s v="Tarde"/>
    <s v="M4"/>
    <x v="2"/>
    <n v="5"/>
  </r>
  <r>
    <n v="1409"/>
    <n v="944"/>
    <d v="2025-03-20T00:00:00"/>
    <s v="Tarde"/>
    <s v="M4"/>
    <x v="5"/>
    <n v="5"/>
  </r>
  <r>
    <n v="1410"/>
    <n v="944"/>
    <d v="2025-03-20T00:00:00"/>
    <s v="Tarde"/>
    <s v="M4"/>
    <x v="4"/>
    <n v="60"/>
  </r>
  <r>
    <n v="1411"/>
    <n v="945"/>
    <d v="2025-03-20T00:00:00"/>
    <s v="Noche"/>
    <s v="M1"/>
    <x v="1"/>
    <n v="5"/>
  </r>
  <r>
    <n v="1412"/>
    <n v="945"/>
    <d v="2025-03-20T00:00:00"/>
    <s v="Noche"/>
    <s v="M1"/>
    <x v="2"/>
    <n v="5"/>
  </r>
  <r>
    <n v="1413"/>
    <n v="946"/>
    <d v="2025-03-20T00:00:00"/>
    <s v="Noche"/>
    <s v="M2"/>
    <x v="2"/>
    <n v="5"/>
  </r>
  <r>
    <n v="1414"/>
    <n v="946"/>
    <d v="2025-03-20T00:00:00"/>
    <s v="Noche"/>
    <s v="M2"/>
    <x v="2"/>
    <n v="20"/>
  </r>
  <r>
    <n v="1415"/>
    <n v="947"/>
    <d v="2025-03-20T00:00:00"/>
    <s v="Noche"/>
    <s v="M3"/>
    <x v="2"/>
    <n v="20"/>
  </r>
  <r>
    <n v="1416"/>
    <n v="947"/>
    <d v="2025-03-20T00:00:00"/>
    <s v="Noche"/>
    <s v="M3"/>
    <x v="0"/>
    <n v="47"/>
  </r>
  <r>
    <n v="1417"/>
    <n v="949"/>
    <d v="2025-03-21T00:00:00"/>
    <s v="Mañana"/>
    <s v="M1"/>
    <x v="2"/>
    <n v="17"/>
  </r>
  <r>
    <n v="1418"/>
    <n v="950"/>
    <d v="2025-03-21T00:00:00"/>
    <s v="Mañana"/>
    <s v="M2"/>
    <x v="0"/>
    <n v="10"/>
  </r>
  <r>
    <n v="1419"/>
    <n v="951"/>
    <d v="2025-03-21T00:00:00"/>
    <s v="Mañana"/>
    <s v="M3"/>
    <x v="0"/>
    <n v="12"/>
  </r>
  <r>
    <n v="1420"/>
    <n v="952"/>
    <d v="2025-03-21T00:00:00"/>
    <s v="Mañana"/>
    <s v="M4"/>
    <x v="2"/>
    <n v="47"/>
  </r>
  <r>
    <n v="1421"/>
    <n v="952"/>
    <d v="2025-03-21T00:00:00"/>
    <s v="Mañana"/>
    <s v="M4"/>
    <x v="5"/>
    <n v="5"/>
  </r>
  <r>
    <n v="1422"/>
    <n v="952"/>
    <d v="2025-03-21T00:00:00"/>
    <s v="Mañana"/>
    <s v="M4"/>
    <x v="1"/>
    <n v="25"/>
  </r>
  <r>
    <n v="1423"/>
    <n v="953"/>
    <d v="2025-03-21T00:00:00"/>
    <s v="Tarde"/>
    <s v="M1"/>
    <x v="2"/>
    <n v="5"/>
  </r>
  <r>
    <n v="1424"/>
    <n v="953"/>
    <d v="2025-03-21T00:00:00"/>
    <s v="Tarde"/>
    <s v="M1"/>
    <x v="0"/>
    <n v="17"/>
  </r>
  <r>
    <n v="1425"/>
    <n v="954"/>
    <d v="2025-03-21T00:00:00"/>
    <s v="Tarde"/>
    <s v="M2"/>
    <x v="2"/>
    <n v="26"/>
  </r>
  <r>
    <n v="1426"/>
    <n v="954"/>
    <d v="2025-03-21T00:00:00"/>
    <s v="Tarde"/>
    <s v="M2"/>
    <x v="4"/>
    <n v="24"/>
  </r>
  <r>
    <n v="1427"/>
    <n v="955"/>
    <d v="2025-03-21T00:00:00"/>
    <s v="Tarde"/>
    <s v="M3"/>
    <x v="5"/>
    <n v="5"/>
  </r>
  <r>
    <n v="1428"/>
    <n v="956"/>
    <d v="2025-03-21T00:00:00"/>
    <s v="Tarde"/>
    <s v="M4"/>
    <x v="2"/>
    <n v="19"/>
  </r>
  <r>
    <n v="1429"/>
    <n v="957"/>
    <d v="2025-03-21T00:00:00"/>
    <s v="Noche"/>
    <s v="M1"/>
    <x v="2"/>
    <n v="12"/>
  </r>
  <r>
    <n v="1430"/>
    <n v="957"/>
    <d v="2025-03-21T00:00:00"/>
    <s v="Noche"/>
    <s v="M1"/>
    <x v="0"/>
    <n v="39"/>
  </r>
  <r>
    <n v="1431"/>
    <n v="957"/>
    <d v="2025-03-21T00:00:00"/>
    <s v="Noche"/>
    <s v="M1"/>
    <x v="1"/>
    <n v="15"/>
  </r>
  <r>
    <n v="1432"/>
    <n v="958"/>
    <d v="2025-03-21T00:00:00"/>
    <s v="Noche"/>
    <s v="M2"/>
    <x v="4"/>
    <n v="15"/>
  </r>
  <r>
    <n v="1433"/>
    <n v="959"/>
    <d v="2025-03-21T00:00:00"/>
    <s v="Noche"/>
    <s v="M3"/>
    <x v="1"/>
    <n v="5"/>
  </r>
  <r>
    <n v="1434"/>
    <n v="959"/>
    <d v="2025-03-21T00:00:00"/>
    <s v="Noche"/>
    <s v="M3"/>
    <x v="2"/>
    <n v="95"/>
  </r>
  <r>
    <n v="1435"/>
    <n v="960"/>
    <d v="2025-03-21T00:00:00"/>
    <s v="Noche"/>
    <s v="M4"/>
    <x v="2"/>
    <n v="30"/>
  </r>
  <r>
    <n v="1436"/>
    <n v="961"/>
    <d v="2025-03-22T00:00:00"/>
    <s v="Mañana"/>
    <s v="M1"/>
    <x v="2"/>
    <n v="18"/>
  </r>
  <r>
    <n v="1437"/>
    <n v="961"/>
    <d v="2025-03-22T00:00:00"/>
    <s v="Mañana"/>
    <s v="M1"/>
    <x v="2"/>
    <n v="13"/>
  </r>
  <r>
    <n v="1438"/>
    <n v="962"/>
    <d v="2025-03-22T00:00:00"/>
    <s v="Mañana"/>
    <s v="M2"/>
    <x v="5"/>
    <n v="40"/>
  </r>
  <r>
    <n v="1439"/>
    <n v="962"/>
    <d v="2025-03-22T00:00:00"/>
    <s v="Mañana"/>
    <s v="M2"/>
    <x v="3"/>
    <n v="27"/>
  </r>
  <r>
    <n v="1440"/>
    <n v="964"/>
    <d v="2025-03-22T00:00:00"/>
    <s v="Mañana"/>
    <s v="M4"/>
    <x v="2"/>
    <n v="31"/>
  </r>
  <r>
    <n v="1441"/>
    <n v="965"/>
    <d v="2025-03-22T00:00:00"/>
    <s v="Tarde"/>
    <s v="M1"/>
    <x v="0"/>
    <n v="42"/>
  </r>
  <r>
    <n v="1442"/>
    <n v="966"/>
    <d v="2025-03-22T00:00:00"/>
    <s v="Tarde"/>
    <s v="M2"/>
    <x v="0"/>
    <n v="16"/>
  </r>
  <r>
    <n v="1443"/>
    <n v="966"/>
    <d v="2025-03-22T00:00:00"/>
    <s v="Tarde"/>
    <s v="M2"/>
    <x v="4"/>
    <n v="89"/>
  </r>
  <r>
    <n v="1444"/>
    <n v="966"/>
    <d v="2025-03-22T00:00:00"/>
    <s v="Tarde"/>
    <s v="M2"/>
    <x v="4"/>
    <n v="5"/>
  </r>
  <r>
    <n v="1445"/>
    <n v="968"/>
    <d v="2025-03-22T00:00:00"/>
    <s v="Tarde"/>
    <s v="M4"/>
    <x v="2"/>
    <n v="18"/>
  </r>
  <r>
    <n v="1446"/>
    <n v="969"/>
    <d v="2025-03-22T00:00:00"/>
    <s v="Noche"/>
    <s v="M1"/>
    <x v="2"/>
    <n v="6"/>
  </r>
  <r>
    <n v="1447"/>
    <n v="969"/>
    <d v="2025-03-22T00:00:00"/>
    <s v="Noche"/>
    <s v="M1"/>
    <x v="0"/>
    <n v="49"/>
  </r>
  <r>
    <n v="1448"/>
    <n v="969"/>
    <d v="2025-03-22T00:00:00"/>
    <s v="Noche"/>
    <s v="M1"/>
    <x v="4"/>
    <n v="5"/>
  </r>
  <r>
    <n v="1449"/>
    <n v="970"/>
    <d v="2025-03-22T00:00:00"/>
    <s v="Noche"/>
    <s v="M2"/>
    <x v="0"/>
    <n v="36"/>
  </r>
  <r>
    <n v="1450"/>
    <n v="970"/>
    <d v="2025-03-22T00:00:00"/>
    <s v="Noche"/>
    <s v="M2"/>
    <x v="0"/>
    <n v="5"/>
  </r>
  <r>
    <n v="1451"/>
    <n v="971"/>
    <d v="2025-03-22T00:00:00"/>
    <s v="Noche"/>
    <s v="M3"/>
    <x v="1"/>
    <n v="5"/>
  </r>
  <r>
    <n v="1452"/>
    <n v="973"/>
    <d v="2025-03-23T00:00:00"/>
    <s v="Mañana"/>
    <s v="M1"/>
    <x v="3"/>
    <n v="61"/>
  </r>
  <r>
    <n v="1453"/>
    <n v="974"/>
    <d v="2025-03-23T00:00:00"/>
    <s v="Mañana"/>
    <s v="M2"/>
    <x v="5"/>
    <n v="13"/>
  </r>
  <r>
    <n v="1454"/>
    <n v="974"/>
    <d v="2025-03-23T00:00:00"/>
    <s v="Mañana"/>
    <s v="M2"/>
    <x v="2"/>
    <n v="5"/>
  </r>
  <r>
    <n v="1455"/>
    <n v="976"/>
    <d v="2025-03-23T00:00:00"/>
    <s v="Mañana"/>
    <s v="M4"/>
    <x v="0"/>
    <n v="5"/>
  </r>
  <r>
    <n v="1456"/>
    <n v="976"/>
    <d v="2025-03-23T00:00:00"/>
    <s v="Mañana"/>
    <s v="M4"/>
    <x v="2"/>
    <n v="5"/>
  </r>
  <r>
    <n v="1457"/>
    <n v="976"/>
    <d v="2025-03-23T00:00:00"/>
    <s v="Mañana"/>
    <s v="M4"/>
    <x v="3"/>
    <n v="10"/>
  </r>
  <r>
    <n v="1458"/>
    <n v="977"/>
    <d v="2025-03-23T00:00:00"/>
    <s v="Tarde"/>
    <s v="M1"/>
    <x v="2"/>
    <n v="6"/>
  </r>
  <r>
    <n v="1459"/>
    <n v="978"/>
    <d v="2025-03-23T00:00:00"/>
    <s v="Tarde"/>
    <s v="M2"/>
    <x v="0"/>
    <n v="153"/>
  </r>
  <r>
    <n v="1460"/>
    <n v="978"/>
    <d v="2025-03-23T00:00:00"/>
    <s v="Tarde"/>
    <s v="M2"/>
    <x v="2"/>
    <n v="7"/>
  </r>
  <r>
    <n v="1461"/>
    <n v="978"/>
    <d v="2025-03-23T00:00:00"/>
    <s v="Tarde"/>
    <s v="M2"/>
    <x v="2"/>
    <n v="5"/>
  </r>
  <r>
    <n v="1462"/>
    <n v="979"/>
    <d v="2025-03-23T00:00:00"/>
    <s v="Tarde"/>
    <s v="M3"/>
    <x v="2"/>
    <n v="13"/>
  </r>
  <r>
    <n v="1463"/>
    <n v="979"/>
    <d v="2025-03-23T00:00:00"/>
    <s v="Tarde"/>
    <s v="M3"/>
    <x v="1"/>
    <n v="5"/>
  </r>
  <r>
    <n v="1464"/>
    <n v="979"/>
    <d v="2025-03-23T00:00:00"/>
    <s v="Tarde"/>
    <s v="M3"/>
    <x v="0"/>
    <n v="10"/>
  </r>
  <r>
    <n v="1465"/>
    <n v="980"/>
    <d v="2025-03-23T00:00:00"/>
    <s v="Tarde"/>
    <s v="M4"/>
    <x v="4"/>
    <n v="71"/>
  </r>
  <r>
    <n v="1466"/>
    <n v="981"/>
    <d v="2025-03-23T00:00:00"/>
    <s v="Noche"/>
    <s v="M1"/>
    <x v="0"/>
    <n v="47"/>
  </r>
  <r>
    <n v="1467"/>
    <n v="982"/>
    <d v="2025-03-23T00:00:00"/>
    <s v="Noche"/>
    <s v="M2"/>
    <x v="2"/>
    <n v="6"/>
  </r>
  <r>
    <n v="1468"/>
    <n v="982"/>
    <d v="2025-03-23T00:00:00"/>
    <s v="Noche"/>
    <s v="M2"/>
    <x v="2"/>
    <n v="12"/>
  </r>
  <r>
    <n v="1469"/>
    <n v="983"/>
    <d v="2025-03-23T00:00:00"/>
    <s v="Noche"/>
    <s v="M3"/>
    <x v="2"/>
    <n v="15"/>
  </r>
  <r>
    <n v="1470"/>
    <n v="984"/>
    <d v="2025-03-23T00:00:00"/>
    <s v="Noche"/>
    <s v="M4"/>
    <x v="4"/>
    <n v="30"/>
  </r>
  <r>
    <n v="1471"/>
    <n v="984"/>
    <d v="2025-03-23T00:00:00"/>
    <s v="Noche"/>
    <s v="M4"/>
    <x v="2"/>
    <n v="15"/>
  </r>
  <r>
    <n v="1472"/>
    <n v="985"/>
    <d v="2025-03-24T00:00:00"/>
    <s v="Mañana"/>
    <s v="M1"/>
    <x v="2"/>
    <n v="5"/>
  </r>
  <r>
    <n v="1473"/>
    <n v="986"/>
    <d v="2025-03-24T00:00:00"/>
    <s v="Mañana"/>
    <s v="M2"/>
    <x v="1"/>
    <n v="5"/>
  </r>
  <r>
    <n v="1474"/>
    <n v="987"/>
    <d v="2025-03-24T00:00:00"/>
    <s v="Mañana"/>
    <s v="M3"/>
    <x v="2"/>
    <n v="5"/>
  </r>
  <r>
    <n v="1475"/>
    <n v="987"/>
    <d v="2025-03-24T00:00:00"/>
    <s v="Mañana"/>
    <s v="M3"/>
    <x v="3"/>
    <n v="49"/>
  </r>
  <r>
    <n v="1476"/>
    <n v="989"/>
    <d v="2025-03-24T00:00:00"/>
    <s v="Tarde"/>
    <s v="M1"/>
    <x v="5"/>
    <n v="11"/>
  </r>
  <r>
    <n v="1477"/>
    <n v="989"/>
    <d v="2025-03-24T00:00:00"/>
    <s v="Tarde"/>
    <s v="M1"/>
    <x v="0"/>
    <n v="5"/>
  </r>
  <r>
    <n v="1478"/>
    <n v="990"/>
    <d v="2025-03-24T00:00:00"/>
    <s v="Tarde"/>
    <s v="M2"/>
    <x v="0"/>
    <n v="52"/>
  </r>
  <r>
    <n v="1479"/>
    <n v="991"/>
    <d v="2025-03-24T00:00:00"/>
    <s v="Tarde"/>
    <s v="M3"/>
    <x v="1"/>
    <n v="105"/>
  </r>
  <r>
    <n v="1480"/>
    <n v="992"/>
    <d v="2025-03-24T00:00:00"/>
    <s v="Tarde"/>
    <s v="M4"/>
    <x v="0"/>
    <n v="78"/>
  </r>
  <r>
    <n v="1481"/>
    <n v="993"/>
    <d v="2025-03-24T00:00:00"/>
    <s v="Noche"/>
    <s v="M1"/>
    <x v="0"/>
    <n v="56"/>
  </r>
  <r>
    <n v="1482"/>
    <n v="994"/>
    <d v="2025-03-24T00:00:00"/>
    <s v="Noche"/>
    <s v="M2"/>
    <x v="2"/>
    <n v="9"/>
  </r>
  <r>
    <n v="1483"/>
    <n v="995"/>
    <d v="2025-03-24T00:00:00"/>
    <s v="Noche"/>
    <s v="M3"/>
    <x v="2"/>
    <n v="5"/>
  </r>
  <r>
    <n v="1484"/>
    <n v="995"/>
    <d v="2025-03-24T00:00:00"/>
    <s v="Noche"/>
    <s v="M3"/>
    <x v="0"/>
    <n v="5"/>
  </r>
  <r>
    <n v="1485"/>
    <n v="996"/>
    <d v="2025-03-24T00:00:00"/>
    <s v="Noche"/>
    <s v="M4"/>
    <x v="0"/>
    <n v="45"/>
  </r>
  <r>
    <n v="1486"/>
    <n v="997"/>
    <d v="2025-03-25T00:00:00"/>
    <s v="Mañana"/>
    <s v="M1"/>
    <x v="1"/>
    <n v="24"/>
  </r>
  <r>
    <n v="1487"/>
    <n v="999"/>
    <d v="2025-03-25T00:00:00"/>
    <s v="Mañana"/>
    <s v="M3"/>
    <x v="4"/>
    <n v="170"/>
  </r>
  <r>
    <n v="1488"/>
    <n v="1000"/>
    <d v="2025-03-25T00:00:00"/>
    <s v="Mañana"/>
    <s v="M4"/>
    <x v="2"/>
    <n v="9"/>
  </r>
  <r>
    <n v="1489"/>
    <n v="1001"/>
    <d v="2025-03-25T00:00:00"/>
    <s v="Tarde"/>
    <s v="M1"/>
    <x v="5"/>
    <n v="15"/>
  </r>
  <r>
    <n v="1490"/>
    <n v="1002"/>
    <d v="2025-03-25T00:00:00"/>
    <s v="Tarde"/>
    <s v="M2"/>
    <x v="4"/>
    <n v="17"/>
  </r>
  <r>
    <n v="1491"/>
    <n v="1003"/>
    <d v="2025-03-25T00:00:00"/>
    <s v="Tarde"/>
    <s v="M3"/>
    <x v="4"/>
    <n v="14"/>
  </r>
  <r>
    <n v="1492"/>
    <n v="1004"/>
    <d v="2025-03-25T00:00:00"/>
    <s v="Tarde"/>
    <s v="M4"/>
    <x v="2"/>
    <n v="22"/>
  </r>
  <r>
    <n v="1493"/>
    <n v="1005"/>
    <d v="2025-03-25T00:00:00"/>
    <s v="Noche"/>
    <s v="M1"/>
    <x v="2"/>
    <n v="8"/>
  </r>
  <r>
    <n v="1494"/>
    <n v="1005"/>
    <d v="2025-03-25T00:00:00"/>
    <s v="Noche"/>
    <s v="M1"/>
    <x v="2"/>
    <n v="39"/>
  </r>
  <r>
    <n v="1495"/>
    <n v="1006"/>
    <d v="2025-03-25T00:00:00"/>
    <s v="Noche"/>
    <s v="M2"/>
    <x v="1"/>
    <n v="23"/>
  </r>
  <r>
    <n v="1496"/>
    <n v="1008"/>
    <d v="2025-03-25T00:00:00"/>
    <s v="Noche"/>
    <s v="M4"/>
    <x v="1"/>
    <n v="79"/>
  </r>
  <r>
    <n v="1497"/>
    <n v="1010"/>
    <d v="2025-03-26T00:00:00"/>
    <s v="Mañana"/>
    <s v="M2"/>
    <x v="5"/>
    <n v="5"/>
  </r>
  <r>
    <n v="1498"/>
    <n v="1010"/>
    <d v="2025-03-26T00:00:00"/>
    <s v="Mañana"/>
    <s v="M2"/>
    <x v="2"/>
    <n v="14"/>
  </r>
  <r>
    <n v="1499"/>
    <n v="1011"/>
    <d v="2025-03-26T00:00:00"/>
    <s v="Mañana"/>
    <s v="M3"/>
    <x v="2"/>
    <n v="15"/>
  </r>
  <r>
    <n v="1500"/>
    <n v="1013"/>
    <d v="2025-03-26T00:00:00"/>
    <s v="Tarde"/>
    <s v="M1"/>
    <x v="2"/>
    <n v="10"/>
  </r>
  <r>
    <n v="1501"/>
    <n v="1013"/>
    <d v="2025-03-26T00:00:00"/>
    <s v="Tarde"/>
    <s v="M1"/>
    <x v="0"/>
    <n v="5"/>
  </r>
  <r>
    <n v="1502"/>
    <n v="1013"/>
    <d v="2025-03-26T00:00:00"/>
    <s v="Tarde"/>
    <s v="M1"/>
    <x v="2"/>
    <n v="90"/>
  </r>
  <r>
    <n v="1503"/>
    <n v="1013"/>
    <d v="2025-03-26T00:00:00"/>
    <s v="Tarde"/>
    <s v="M1"/>
    <x v="0"/>
    <n v="5"/>
  </r>
  <r>
    <n v="1504"/>
    <n v="1014"/>
    <d v="2025-03-26T00:00:00"/>
    <s v="Tarde"/>
    <s v="M2"/>
    <x v="2"/>
    <n v="19"/>
  </r>
  <r>
    <n v="1505"/>
    <n v="1014"/>
    <d v="2025-03-26T00:00:00"/>
    <s v="Tarde"/>
    <s v="M2"/>
    <x v="2"/>
    <n v="5"/>
  </r>
  <r>
    <n v="1506"/>
    <n v="1014"/>
    <d v="2025-03-26T00:00:00"/>
    <s v="Tarde"/>
    <s v="M2"/>
    <x v="2"/>
    <n v="15"/>
  </r>
  <r>
    <n v="1507"/>
    <n v="1014"/>
    <d v="2025-03-26T00:00:00"/>
    <s v="Tarde"/>
    <s v="M2"/>
    <x v="5"/>
    <n v="19"/>
  </r>
  <r>
    <n v="1508"/>
    <n v="1015"/>
    <d v="2025-03-26T00:00:00"/>
    <s v="Tarde"/>
    <s v="M3"/>
    <x v="5"/>
    <n v="5"/>
  </r>
  <r>
    <n v="1509"/>
    <n v="1015"/>
    <d v="2025-03-26T00:00:00"/>
    <s v="Tarde"/>
    <s v="M3"/>
    <x v="2"/>
    <n v="15"/>
  </r>
  <r>
    <n v="1510"/>
    <n v="1015"/>
    <d v="2025-03-26T00:00:00"/>
    <s v="Tarde"/>
    <s v="M3"/>
    <x v="0"/>
    <n v="61"/>
  </r>
  <r>
    <n v="1511"/>
    <n v="1015"/>
    <d v="2025-03-26T00:00:00"/>
    <s v="Tarde"/>
    <s v="M3"/>
    <x v="0"/>
    <n v="8"/>
  </r>
  <r>
    <n v="1512"/>
    <n v="1016"/>
    <d v="2025-03-26T00:00:00"/>
    <s v="Tarde"/>
    <s v="M4"/>
    <x v="0"/>
    <n v="5"/>
  </r>
  <r>
    <n v="1513"/>
    <n v="1016"/>
    <d v="2025-03-26T00:00:00"/>
    <s v="Tarde"/>
    <s v="M4"/>
    <x v="2"/>
    <n v="22"/>
  </r>
  <r>
    <n v="1514"/>
    <n v="1016"/>
    <d v="2025-03-26T00:00:00"/>
    <s v="Tarde"/>
    <s v="M4"/>
    <x v="2"/>
    <n v="26"/>
  </r>
  <r>
    <n v="1515"/>
    <n v="1018"/>
    <d v="2025-03-26T00:00:00"/>
    <s v="Noche"/>
    <s v="M2"/>
    <x v="3"/>
    <n v="14"/>
  </r>
  <r>
    <n v="1516"/>
    <n v="1019"/>
    <d v="2025-03-26T00:00:00"/>
    <s v="Noche"/>
    <s v="M3"/>
    <x v="0"/>
    <n v="39"/>
  </r>
  <r>
    <n v="1517"/>
    <n v="1020"/>
    <d v="2025-03-26T00:00:00"/>
    <s v="Noche"/>
    <s v="M4"/>
    <x v="1"/>
    <n v="12"/>
  </r>
  <r>
    <n v="1518"/>
    <n v="1022"/>
    <d v="2025-03-27T00:00:00"/>
    <s v="Mañana"/>
    <s v="M2"/>
    <x v="0"/>
    <n v="61"/>
  </r>
  <r>
    <n v="1519"/>
    <n v="1023"/>
    <d v="2025-03-27T00:00:00"/>
    <s v="Mañana"/>
    <s v="M3"/>
    <x v="1"/>
    <n v="21"/>
  </r>
  <r>
    <n v="1520"/>
    <n v="1023"/>
    <d v="2025-03-27T00:00:00"/>
    <s v="Mañana"/>
    <s v="M3"/>
    <x v="1"/>
    <n v="66"/>
  </r>
  <r>
    <n v="1521"/>
    <n v="1024"/>
    <d v="2025-03-27T00:00:00"/>
    <s v="Mañana"/>
    <s v="M4"/>
    <x v="0"/>
    <n v="184"/>
  </r>
  <r>
    <n v="1522"/>
    <n v="1024"/>
    <d v="2025-03-27T00:00:00"/>
    <s v="Mañana"/>
    <s v="M4"/>
    <x v="1"/>
    <n v="5"/>
  </r>
  <r>
    <n v="1523"/>
    <n v="1026"/>
    <d v="2025-03-27T00:00:00"/>
    <s v="Tarde"/>
    <s v="M2"/>
    <x v="0"/>
    <n v="8"/>
  </r>
  <r>
    <n v="1524"/>
    <n v="1029"/>
    <d v="2025-03-27T00:00:00"/>
    <s v="Noche"/>
    <s v="M1"/>
    <x v="2"/>
    <n v="20"/>
  </r>
  <r>
    <n v="1525"/>
    <n v="1029"/>
    <d v="2025-03-27T00:00:00"/>
    <s v="Noche"/>
    <s v="M1"/>
    <x v="0"/>
    <n v="43"/>
  </r>
  <r>
    <n v="1526"/>
    <n v="1029"/>
    <d v="2025-03-27T00:00:00"/>
    <s v="Noche"/>
    <s v="M1"/>
    <x v="5"/>
    <n v="10"/>
  </r>
  <r>
    <n v="1527"/>
    <n v="1029"/>
    <d v="2025-03-27T00:00:00"/>
    <s v="Noche"/>
    <s v="M1"/>
    <x v="2"/>
    <n v="6"/>
  </r>
  <r>
    <n v="1528"/>
    <n v="1030"/>
    <d v="2025-03-27T00:00:00"/>
    <s v="Noche"/>
    <s v="M2"/>
    <x v="4"/>
    <n v="18"/>
  </r>
  <r>
    <n v="1529"/>
    <n v="1030"/>
    <d v="2025-03-27T00:00:00"/>
    <s v="Noche"/>
    <s v="M2"/>
    <x v="2"/>
    <n v="17"/>
  </r>
  <r>
    <n v="1530"/>
    <n v="1030"/>
    <d v="2025-03-27T00:00:00"/>
    <s v="Noche"/>
    <s v="M2"/>
    <x v="1"/>
    <n v="100"/>
  </r>
  <r>
    <n v="1531"/>
    <n v="1031"/>
    <d v="2025-03-27T00:00:00"/>
    <s v="Noche"/>
    <s v="M3"/>
    <x v="0"/>
    <n v="65"/>
  </r>
  <r>
    <n v="1532"/>
    <n v="1031"/>
    <d v="2025-03-27T00:00:00"/>
    <s v="Noche"/>
    <s v="M3"/>
    <x v="1"/>
    <n v="11"/>
  </r>
  <r>
    <n v="1533"/>
    <n v="1031"/>
    <d v="2025-03-27T00:00:00"/>
    <s v="Noche"/>
    <s v="M3"/>
    <x v="0"/>
    <n v="81"/>
  </r>
  <r>
    <n v="1534"/>
    <n v="1032"/>
    <d v="2025-03-27T00:00:00"/>
    <s v="Noche"/>
    <s v="M4"/>
    <x v="3"/>
    <n v="68"/>
  </r>
  <r>
    <n v="1535"/>
    <n v="1033"/>
    <d v="2025-03-28T00:00:00"/>
    <s v="Mañana"/>
    <s v="M1"/>
    <x v="3"/>
    <n v="83"/>
  </r>
  <r>
    <n v="1536"/>
    <n v="1035"/>
    <d v="2025-03-28T00:00:00"/>
    <s v="Mañana"/>
    <s v="M3"/>
    <x v="2"/>
    <n v="5"/>
  </r>
  <r>
    <n v="1537"/>
    <n v="1035"/>
    <d v="2025-03-28T00:00:00"/>
    <s v="Mañana"/>
    <s v="M3"/>
    <x v="2"/>
    <n v="5"/>
  </r>
  <r>
    <n v="1538"/>
    <n v="1035"/>
    <d v="2025-03-28T00:00:00"/>
    <s v="Mañana"/>
    <s v="M3"/>
    <x v="3"/>
    <n v="15"/>
  </r>
  <r>
    <n v="1539"/>
    <n v="1036"/>
    <d v="2025-03-28T00:00:00"/>
    <s v="Mañana"/>
    <s v="M4"/>
    <x v="1"/>
    <n v="70"/>
  </r>
  <r>
    <n v="1540"/>
    <n v="1036"/>
    <d v="2025-03-28T00:00:00"/>
    <s v="Mañana"/>
    <s v="M4"/>
    <x v="0"/>
    <n v="5"/>
  </r>
  <r>
    <n v="1541"/>
    <n v="1036"/>
    <d v="2025-03-28T00:00:00"/>
    <s v="Mañana"/>
    <s v="M4"/>
    <x v="2"/>
    <n v="54"/>
  </r>
  <r>
    <n v="1542"/>
    <n v="1040"/>
    <d v="2025-03-28T00:00:00"/>
    <s v="Tarde"/>
    <s v="M4"/>
    <x v="1"/>
    <n v="10"/>
  </r>
  <r>
    <n v="1543"/>
    <n v="1042"/>
    <d v="2025-03-28T00:00:00"/>
    <s v="Noche"/>
    <s v="M2"/>
    <x v="1"/>
    <n v="5"/>
  </r>
  <r>
    <n v="1544"/>
    <n v="1043"/>
    <d v="2025-03-28T00:00:00"/>
    <s v="Noche"/>
    <s v="M3"/>
    <x v="4"/>
    <n v="55"/>
  </r>
  <r>
    <n v="1545"/>
    <n v="1045"/>
    <d v="2025-03-29T00:00:00"/>
    <s v="Mañana"/>
    <s v="M1"/>
    <x v="2"/>
    <n v="5"/>
  </r>
  <r>
    <n v="1546"/>
    <n v="1045"/>
    <d v="2025-03-29T00:00:00"/>
    <s v="Mañana"/>
    <s v="M1"/>
    <x v="1"/>
    <n v="21"/>
  </r>
  <r>
    <n v="1547"/>
    <n v="1046"/>
    <d v="2025-03-29T00:00:00"/>
    <s v="Mañana"/>
    <s v="M2"/>
    <x v="0"/>
    <n v="18"/>
  </r>
  <r>
    <n v="1548"/>
    <n v="1047"/>
    <d v="2025-03-29T00:00:00"/>
    <s v="Mañana"/>
    <s v="M3"/>
    <x v="4"/>
    <n v="5"/>
  </r>
  <r>
    <n v="1549"/>
    <n v="1047"/>
    <d v="2025-03-29T00:00:00"/>
    <s v="Mañana"/>
    <s v="M3"/>
    <x v="3"/>
    <n v="40"/>
  </r>
  <r>
    <n v="1550"/>
    <n v="1050"/>
    <d v="2025-03-29T00:00:00"/>
    <s v="Tarde"/>
    <s v="M2"/>
    <x v="3"/>
    <n v="10"/>
  </r>
  <r>
    <n v="1551"/>
    <n v="1052"/>
    <d v="2025-03-29T00:00:00"/>
    <s v="Tarde"/>
    <s v="M4"/>
    <x v="0"/>
    <n v="57"/>
  </r>
  <r>
    <n v="1552"/>
    <n v="1055"/>
    <d v="2025-03-29T00:00:00"/>
    <s v="Noche"/>
    <s v="M3"/>
    <x v="3"/>
    <n v="141"/>
  </r>
  <r>
    <n v="1553"/>
    <n v="1056"/>
    <d v="2025-03-29T00:00:00"/>
    <s v="Noche"/>
    <s v="M4"/>
    <x v="1"/>
    <n v="18"/>
  </r>
  <r>
    <n v="1554"/>
    <n v="1057"/>
    <d v="2025-03-30T00:00:00"/>
    <s v="Mañana"/>
    <s v="M1"/>
    <x v="0"/>
    <n v="10"/>
  </r>
  <r>
    <n v="1555"/>
    <n v="1058"/>
    <d v="2025-03-30T00:00:00"/>
    <s v="Mañana"/>
    <s v="M2"/>
    <x v="2"/>
    <n v="18"/>
  </r>
  <r>
    <n v="1556"/>
    <n v="1059"/>
    <d v="2025-03-30T00:00:00"/>
    <s v="Mañana"/>
    <s v="M3"/>
    <x v="0"/>
    <n v="28"/>
  </r>
  <r>
    <n v="1557"/>
    <n v="1059"/>
    <d v="2025-03-30T00:00:00"/>
    <s v="Mañana"/>
    <s v="M3"/>
    <x v="5"/>
    <n v="14"/>
  </r>
  <r>
    <n v="1558"/>
    <n v="1061"/>
    <d v="2025-03-30T00:00:00"/>
    <s v="Tarde"/>
    <s v="M1"/>
    <x v="2"/>
    <n v="10"/>
  </r>
  <r>
    <n v="1559"/>
    <n v="1061"/>
    <d v="2025-03-30T00:00:00"/>
    <s v="Tarde"/>
    <s v="M1"/>
    <x v="2"/>
    <n v="5"/>
  </r>
  <r>
    <n v="1560"/>
    <n v="1063"/>
    <d v="2025-03-30T00:00:00"/>
    <s v="Tarde"/>
    <s v="M3"/>
    <x v="3"/>
    <n v="12"/>
  </r>
  <r>
    <n v="1561"/>
    <n v="1065"/>
    <d v="2025-03-30T00:00:00"/>
    <s v="Noche"/>
    <s v="M1"/>
    <x v="2"/>
    <n v="20"/>
  </r>
  <r>
    <n v="1562"/>
    <n v="1065"/>
    <d v="2025-03-30T00:00:00"/>
    <s v="Noche"/>
    <s v="M1"/>
    <x v="0"/>
    <n v="5"/>
  </r>
  <r>
    <n v="1563"/>
    <n v="1065"/>
    <d v="2025-03-30T00:00:00"/>
    <s v="Noche"/>
    <s v="M1"/>
    <x v="2"/>
    <n v="15"/>
  </r>
  <r>
    <n v="1564"/>
    <n v="1065"/>
    <d v="2025-03-30T00:00:00"/>
    <s v="Noche"/>
    <s v="M1"/>
    <x v="4"/>
    <n v="5"/>
  </r>
  <r>
    <n v="1565"/>
    <n v="1066"/>
    <d v="2025-03-30T00:00:00"/>
    <s v="Noche"/>
    <s v="M2"/>
    <x v="2"/>
    <n v="5"/>
  </r>
  <r>
    <n v="1566"/>
    <n v="1067"/>
    <d v="2025-03-30T00:00:00"/>
    <s v="Noche"/>
    <s v="M3"/>
    <x v="5"/>
    <n v="18"/>
  </r>
  <r>
    <n v="1567"/>
    <n v="1068"/>
    <d v="2025-03-30T00:00:00"/>
    <s v="Noche"/>
    <s v="M4"/>
    <x v="0"/>
    <n v="73"/>
  </r>
  <r>
    <n v="1568"/>
    <n v="1068"/>
    <d v="2025-03-30T00:00:00"/>
    <s v="Noche"/>
    <s v="M4"/>
    <x v="0"/>
    <n v="217"/>
  </r>
  <r>
    <n v="1569"/>
    <n v="1069"/>
    <d v="2025-03-31T00:00:00"/>
    <s v="Mañana"/>
    <s v="M1"/>
    <x v="4"/>
    <n v="13"/>
  </r>
  <r>
    <n v="1570"/>
    <n v="1072"/>
    <d v="2025-03-31T00:00:00"/>
    <s v="Mañana"/>
    <s v="M4"/>
    <x v="0"/>
    <n v="126"/>
  </r>
  <r>
    <n v="1571"/>
    <n v="1072"/>
    <d v="2025-03-31T00:00:00"/>
    <s v="Mañana"/>
    <s v="M4"/>
    <x v="0"/>
    <n v="86"/>
  </r>
  <r>
    <n v="1572"/>
    <n v="1074"/>
    <d v="2025-03-31T00:00:00"/>
    <s v="Tarde"/>
    <s v="M2"/>
    <x v="0"/>
    <n v="5"/>
  </r>
  <r>
    <n v="1573"/>
    <n v="1075"/>
    <d v="2025-03-31T00:00:00"/>
    <s v="Tarde"/>
    <s v="M3"/>
    <x v="2"/>
    <n v="20"/>
  </r>
  <r>
    <n v="1574"/>
    <n v="1076"/>
    <d v="2025-03-31T00:00:00"/>
    <s v="Tarde"/>
    <s v="M4"/>
    <x v="1"/>
    <n v="39"/>
  </r>
  <r>
    <n v="1575"/>
    <n v="1077"/>
    <d v="2025-03-31T00:00:00"/>
    <s v="Noche"/>
    <s v="M1"/>
    <x v="1"/>
    <n v="5"/>
  </r>
  <r>
    <n v="1576"/>
    <n v="1078"/>
    <d v="2025-03-31T00:00:00"/>
    <s v="Noche"/>
    <s v="M2"/>
    <x v="0"/>
    <n v="94"/>
  </r>
  <r>
    <n v="1577"/>
    <n v="1078"/>
    <d v="2025-03-31T00:00:00"/>
    <s v="Noche"/>
    <s v="M2"/>
    <x v="0"/>
    <n v="6"/>
  </r>
  <r>
    <n v="1578"/>
    <n v="1080"/>
    <d v="2025-03-31T00:00:00"/>
    <s v="Noche"/>
    <s v="M4"/>
    <x v="4"/>
    <n v="18"/>
  </r>
  <r>
    <n v="1579"/>
    <n v="1080"/>
    <d v="2025-03-31T00:00:00"/>
    <s v="Noche"/>
    <s v="M4"/>
    <x v="0"/>
    <n v="114"/>
  </r>
  <r>
    <n v="1580"/>
    <n v="1080"/>
    <d v="2025-03-31T00:00:00"/>
    <s v="Noche"/>
    <s v="M4"/>
    <x v="5"/>
    <n v="19"/>
  </r>
  <r>
    <n v="1581"/>
    <n v="1080"/>
    <d v="2025-03-31T00:00:00"/>
    <s v="Noche"/>
    <s v="M4"/>
    <x v="1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E0E9C-6F98-48F3-9061-1B46146DB75C}" name="TablaDiná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55:C62" firstHeaderRow="1" firstDataRow="1" firstDataCol="1"/>
  <pivotFields count="7">
    <pivotField showAll="0"/>
    <pivotField showAll="0"/>
    <pivotField numFmtId="14" showAll="0"/>
    <pivotField showAll="0"/>
    <pivotField showAll="0"/>
    <pivotField axis="axisRow" showAll="0">
      <items count="7">
        <item x="5"/>
        <item x="2"/>
        <item x="0"/>
        <item x="1"/>
        <item x="4"/>
        <item x="3"/>
        <item t="default"/>
      </items>
    </pivotField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Duracion_m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A815D-D642-42E1-AFFE-34176B30C1D0}" name="TablaDinámica4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5:C52" firstHeaderRow="1" firstDataRow="1" firstDataCol="1"/>
  <pivotFields count="7">
    <pivotField showAll="0"/>
    <pivotField showAll="0"/>
    <pivotField numFmtId="14" showAll="0"/>
    <pivotField showAll="0"/>
    <pivotField showAll="0"/>
    <pivotField axis="axisRow" showAll="0">
      <items count="7">
        <item x="5"/>
        <item x="2"/>
        <item x="0"/>
        <item x="1"/>
        <item x="4"/>
        <item x="3"/>
        <item t="default"/>
      </items>
    </pivotField>
    <pivotField dataField="1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Duracion_m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EA68A-FAAC-4F23-A06B-7658128A852C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36:C40" firstHeaderRow="1" firstDataRow="1" firstDataCol="1"/>
  <pivotFields count="16">
    <pivotField showAll="0"/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OEE" fld="14" subtotal="average" baseField="0" baseItem="0" numFmtId="164"/>
  </dataFields>
  <formats count="1">
    <format dxfId="108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CEBB4-720C-4CAF-8F40-01373BA1742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19:C33" firstHeaderRow="1" firstDataRow="1" firstDataCol="1"/>
  <pivotFields count="16">
    <pivotField showAll="0"/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15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Promedio de OEE" fld="14" subtotal="average" baseField="0" baseItem="0" numFmtId="164"/>
  </dataFields>
  <formats count="1">
    <format dxfId="90">
      <pivotArea outline="0" collapsedLevelsAreSubtotals="1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9F556-6CC3-41ED-BDFB-C7102EEBFD8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6:C11" firstHeaderRow="1" firstDataRow="1" firstDataCol="1"/>
  <pivotFields count="16">
    <pivotField showAll="0"/>
    <pivotField numFmtId="14" showAll="0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OEE" fld="14" subtotal="average" baseField="0" baseItem="0" numFmtId="164"/>
  </dataFields>
  <formats count="1">
    <format dxfId="109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2C69436-40B8-4F3E-A00B-2929CE5E02BD}" autoFormatId="16" applyNumberFormats="0" applyBorderFormats="0" applyFontFormats="0" applyPatternFormats="0" applyAlignmentFormats="0" applyWidthHeightFormats="0">
  <queryTableRefresh nextId="16">
    <queryTableFields count="15">
      <queryTableField id="1" name="Registro_ID" tableColumnId="1"/>
      <queryTableField id="2" name="Fecha" tableColumnId="2"/>
      <queryTableField id="3" name="Turno" tableColumnId="3"/>
      <queryTableField id="4" name="Maquina" tableColumnId="4"/>
      <queryTableField id="5" name="Tiempo_Planeado_min" tableColumnId="5"/>
      <queryTableField id="6" name="Downtime_Total_min" tableColumnId="6"/>
      <queryTableField id="7" name="Piezas_Producidas" tableColumnId="7"/>
      <queryTableField id="8" name="Piezas_Buenas" tableColumnId="8"/>
      <queryTableField id="9" name="Piezas_Defectuosas" tableColumnId="9"/>
      <queryTableField id="10" name="Ciclo_ideal_seg" tableColumnId="10"/>
      <queryTableField id="11" name="Tiempo_Operativo_min" tableColumnId="11"/>
      <queryTableField id="12" name="Disponibilidad" tableColumnId="12"/>
      <queryTableField id="13" name="Rendimiento" tableColumnId="13"/>
      <queryTableField id="14" name="Calidad" tableColumnId="14"/>
      <queryTableField id="15" name="OE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11146C8-D123-422F-88BE-4027754B272F}" autoFormatId="16" applyNumberFormats="0" applyBorderFormats="0" applyFontFormats="0" applyPatternFormats="0" applyAlignmentFormats="0" applyWidthHeightFormats="0">
  <queryTableRefresh nextId="8">
    <queryTableFields count="7">
      <queryTableField id="1" name="Paro_ID" tableColumnId="1"/>
      <queryTableField id="2" name="Registro_ID" tableColumnId="2"/>
      <queryTableField id="3" name="Fecha" tableColumnId="3"/>
      <queryTableField id="4" name="Turno" tableColumnId="4"/>
      <queryTableField id="5" name="Maquina" tableColumnId="5"/>
      <queryTableField id="6" name="Causa_Paro" tableColumnId="6"/>
      <queryTableField id="7" name="Duracion_min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urno" xr10:uid="{41E332ED-8B65-45C1-A8D0-BFE9042D9FD8}" sourceName="Turno">
  <pivotTables>
    <pivotTable tabId="1" name="TablaDinámica1"/>
    <pivotTable tabId="1" name="TablaDinámica2"/>
    <pivotTable tabId="1" name="TablaDinámica3"/>
  </pivotTables>
  <data>
    <tabular pivotCacheId="47569656">
      <items count="3">
        <i x="0" s="1"/>
        <i x="2" s="1"/>
        <i x="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quina" xr10:uid="{35238C35-9CFC-4C1B-A14E-8EFF2B182467}" sourceName="Maquina">
  <pivotTables>
    <pivotTable tabId="1" name="TablaDinámica1"/>
    <pivotTable tabId="1" name="TablaDinámica2"/>
    <pivotTable tabId="1" name="TablaDinámica3"/>
  </pivotTables>
  <data>
    <tabular pivotCacheId="47569656">
      <items count="4">
        <i x="0" s="1"/>
        <i x="1" s="1"/>
        <i x="2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ías__Fecha" xr10:uid="{7630FF8D-0771-429C-BF88-39142F038A0D}" sourceName="Días (Fecha)">
  <pivotTables>
    <pivotTable tabId="1" name="TablaDinámica2"/>
    <pivotTable tabId="1" name="TablaDinámica1"/>
    <pivotTable tabId="1" name="TablaDinámica3"/>
  </pivotTables>
  <data>
    <tabular pivotCacheId="47569656">
      <items count="15">
        <i x="1" s="1"/>
        <i x="6" s="1"/>
        <i x="10" s="1"/>
        <i x="2" s="1"/>
        <i x="7" s="1"/>
        <i x="11" s="1"/>
        <i x="3" s="1"/>
        <i x="8" s="1"/>
        <i x="12" s="1"/>
        <i x="4" s="1"/>
        <i x="9" s="1"/>
        <i x="13" s="1"/>
        <i x="5" s="1"/>
        <i x="0" s="1" nd="1"/>
        <i x="1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rno" xr10:uid="{DEAA756B-84A4-4140-96E0-C9335240B978}" cache="SegmentaciónDeDatos_Turno" caption="Turno" rowHeight="247650"/>
  <slicer name="Maquina" xr10:uid="{845A66BB-C317-40C5-A843-26E183BDEB0A}" cache="SegmentaciónDeDatos_Maquina" caption="Maquina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rno 1" xr10:uid="{64084A92-F092-445A-B729-A682D0FD29B9}" cache="SegmentaciónDeDatos_Turno" style="Estilo de segmentación de datos 1" rowHeight="247650"/>
  <slicer name="Maquina 1" xr10:uid="{31221D22-638F-495B-8F3A-BDBC5B26B301}" cache="SegmentaciónDeDatos_Maquina" caption="Maquina" style="Estilo de segmentación de datos 1" rowHeight="247650"/>
  <slicer name="Días (Fecha)" xr10:uid="{4AC703FD-EB90-44EF-9DDF-3A4F90297FCF}" cache="SegmentaciónDeDatos_Días__Fecha" caption="Días (Fecha)" style="Estilo de segmentación de datos 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84D1F-BEF5-48CD-9B04-9F83EAA6E707}" name="producccion_oee" displayName="producccion_oee" ref="A1:O1081" tableType="queryTable" totalsRowShown="0">
  <autoFilter ref="A1:O1081" xr:uid="{09C84D1F-BEF5-48CD-9B04-9F83EAA6E707}"/>
  <tableColumns count="15">
    <tableColumn id="1" xr3:uid="{BDE96D0D-2DDC-413C-9D32-2B6EE9049F3F}" uniqueName="1" name="Registro_ID" queryTableFieldId="1"/>
    <tableColumn id="2" xr3:uid="{0CD74956-DAAE-4AFC-BCA5-B229DBF92179}" uniqueName="2" name="Fecha" queryTableFieldId="2" dataDxfId="107"/>
    <tableColumn id="3" xr3:uid="{9F617C41-BFE6-4BD1-A300-86EEFC02D540}" uniqueName="3" name="Turno" queryTableFieldId="3" dataDxfId="106"/>
    <tableColumn id="4" xr3:uid="{959E0F73-A808-4C2E-8FA7-2211AAB46039}" uniqueName="4" name="Maquina" queryTableFieldId="4" dataDxfId="105"/>
    <tableColumn id="5" xr3:uid="{12F37A6B-E905-48CE-9385-FAFFF28EFA22}" uniqueName="5" name="Tiempo_Planeado_min" queryTableFieldId="5"/>
    <tableColumn id="6" xr3:uid="{8D5A1907-A7C2-410D-8AEB-4010E86D40F9}" uniqueName="6" name="Downtime_Total_min" queryTableFieldId="6"/>
    <tableColumn id="7" xr3:uid="{E0676835-378F-4F27-A572-AFB6CF46376B}" uniqueName="7" name="Piezas_Producidas" queryTableFieldId="7"/>
    <tableColumn id="8" xr3:uid="{307F5168-50EE-40CC-A64C-2838C4E9B6BF}" uniqueName="8" name="Piezas_Buenas" queryTableFieldId="8"/>
    <tableColumn id="9" xr3:uid="{DCD6A7B4-876A-4B08-8614-C8D2339ACF9F}" uniqueName="9" name="Piezas_Defectuosas" queryTableFieldId="9"/>
    <tableColumn id="10" xr3:uid="{287F2710-4583-4203-A1A1-3B6203EF1AC7}" uniqueName="10" name="Ciclo_ideal_seg" queryTableFieldId="10"/>
    <tableColumn id="11" xr3:uid="{6B684DB7-3DC0-47E3-9DAE-17F2C626454D}" uniqueName="11" name="Tiempo_Operativo_min" queryTableFieldId="11"/>
    <tableColumn id="12" xr3:uid="{610DF513-2927-43D3-8A3B-D3569FEC8B8F}" uniqueName="12" name="Disponibilidad" queryTableFieldId="12"/>
    <tableColumn id="13" xr3:uid="{BBE6BBDA-903C-4CD4-872A-FFF62581C730}" uniqueName="13" name="Rendimiento" queryTableFieldId="13"/>
    <tableColumn id="14" xr3:uid="{5E6F47B7-7C8E-48CE-9FA4-DAD4FE10395F}" uniqueName="14" name="Calidad" queryTableFieldId="14"/>
    <tableColumn id="15" xr3:uid="{89B41435-CA97-4AE8-BE40-48539A233C31}" uniqueName="15" name="OE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5F2566-F8FB-472E-B5BD-4937EF3F4C4F}" name="paros_export" displayName="paros_export" ref="A1:G1582" tableType="queryTable" totalsRowShown="0">
  <autoFilter ref="A1:G1582" xr:uid="{295F2566-F8FB-472E-B5BD-4937EF3F4C4F}"/>
  <tableColumns count="7">
    <tableColumn id="1" xr3:uid="{B00E3994-23A6-4538-A22E-226A1F2E76F7}" uniqueName="1" name="Paro_ID" queryTableFieldId="1"/>
    <tableColumn id="2" xr3:uid="{9EF961A1-3F31-422E-B8BF-7C6F6B436EAD}" uniqueName="2" name="Registro_ID" queryTableFieldId="2"/>
    <tableColumn id="3" xr3:uid="{B9841F47-D55B-484D-9181-7A1591B23A7B}" uniqueName="3" name="Fecha" queryTableFieldId="3" dataDxfId="104"/>
    <tableColumn id="4" xr3:uid="{2FE0A7E2-F905-4A67-98F2-AC69C9759B36}" uniqueName="4" name="Turno" queryTableFieldId="4" dataDxfId="103"/>
    <tableColumn id="5" xr3:uid="{2C087306-72F0-4695-8A94-952BF5096097}" uniqueName="5" name="Maquina" queryTableFieldId="5" dataDxfId="102"/>
    <tableColumn id="6" xr3:uid="{B4B752BA-A025-4B7E-BD45-88EDC0843011}" uniqueName="6" name="Causa_Paro" queryTableFieldId="6" dataDxfId="101"/>
    <tableColumn id="7" xr3:uid="{06498F85-0125-43C5-95DB-A337AAF32FFC}" uniqueName="7" name="Duracion_mi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2A69-851D-43B6-A692-3654DC12A1AB}">
  <dimension ref="A1:O1081"/>
  <sheetViews>
    <sheetView workbookViewId="0"/>
  </sheetViews>
  <sheetFormatPr baseColWidth="10" defaultRowHeight="14.4" x14ac:dyDescent="0.3"/>
  <cols>
    <col min="1" max="1" width="12.5546875" bestFit="1" customWidth="1"/>
    <col min="2" max="2" width="10.33203125" bestFit="1" customWidth="1"/>
    <col min="3" max="3" width="7.77734375" bestFit="1" customWidth="1"/>
    <col min="4" max="4" width="10.33203125" bestFit="1" customWidth="1"/>
    <col min="5" max="5" width="22.109375" bestFit="1" customWidth="1"/>
    <col min="6" max="6" width="20.6640625" bestFit="1" customWidth="1"/>
    <col min="7" max="7" width="19" bestFit="1" customWidth="1"/>
    <col min="8" max="8" width="15.44140625" bestFit="1" customWidth="1"/>
    <col min="9" max="9" width="19.77734375" bestFit="1" customWidth="1"/>
    <col min="10" max="10" width="16.109375" bestFit="1" customWidth="1"/>
    <col min="11" max="11" width="22.5546875" bestFit="1" customWidth="1"/>
    <col min="12" max="12" width="15.5546875" bestFit="1" customWidth="1"/>
    <col min="13" max="13" width="13.88671875" bestFit="1" customWidth="1"/>
    <col min="14" max="15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>
        <v>45658</v>
      </c>
      <c r="C2" t="s">
        <v>15</v>
      </c>
      <c r="D2" t="s">
        <v>16</v>
      </c>
      <c r="E2">
        <v>480</v>
      </c>
      <c r="F2">
        <v>133</v>
      </c>
      <c r="G2">
        <v>1309</v>
      </c>
      <c r="H2">
        <v>1233</v>
      </c>
      <c r="I2">
        <v>76</v>
      </c>
      <c r="J2">
        <v>12</v>
      </c>
      <c r="K2">
        <v>347</v>
      </c>
      <c r="L2">
        <v>0.72291666666666665</v>
      </c>
      <c r="M2">
        <v>0.75446685878962538</v>
      </c>
      <c r="N2">
        <v>0.9419404125286478</v>
      </c>
      <c r="O2">
        <v>0.51374999999999993</v>
      </c>
    </row>
    <row r="3" spans="1:15" x14ac:dyDescent="0.3">
      <c r="A3">
        <v>2</v>
      </c>
      <c r="B3" s="1">
        <v>45658</v>
      </c>
      <c r="C3" t="s">
        <v>15</v>
      </c>
      <c r="D3" t="s">
        <v>17</v>
      </c>
      <c r="E3">
        <v>480</v>
      </c>
      <c r="F3">
        <v>9</v>
      </c>
      <c r="G3">
        <v>1839</v>
      </c>
      <c r="H3">
        <v>1773</v>
      </c>
      <c r="I3">
        <v>66</v>
      </c>
      <c r="J3">
        <v>12.6</v>
      </c>
      <c r="K3">
        <v>471</v>
      </c>
      <c r="L3">
        <v>0.98124999999999996</v>
      </c>
      <c r="M3">
        <v>0.81993630573248399</v>
      </c>
      <c r="N3">
        <v>0.96411092985318103</v>
      </c>
      <c r="O3">
        <v>0.77568749999999986</v>
      </c>
    </row>
    <row r="4" spans="1:15" x14ac:dyDescent="0.3">
      <c r="A4">
        <v>3</v>
      </c>
      <c r="B4" s="1">
        <v>45658</v>
      </c>
      <c r="C4" t="s">
        <v>15</v>
      </c>
      <c r="D4" t="s">
        <v>18</v>
      </c>
      <c r="E4">
        <v>480</v>
      </c>
      <c r="F4">
        <v>5</v>
      </c>
      <c r="G4">
        <v>1764</v>
      </c>
      <c r="H4">
        <v>1715</v>
      </c>
      <c r="I4">
        <v>49</v>
      </c>
      <c r="J4">
        <v>13.2</v>
      </c>
      <c r="K4">
        <v>475</v>
      </c>
      <c r="L4">
        <v>0.98958333333333337</v>
      </c>
      <c r="M4">
        <v>0.81701052631578941</v>
      </c>
      <c r="N4">
        <v>0.97222222222222221</v>
      </c>
      <c r="O4">
        <v>0.78604166666666664</v>
      </c>
    </row>
    <row r="5" spans="1:15" x14ac:dyDescent="0.3">
      <c r="A5">
        <v>4</v>
      </c>
      <c r="B5" s="1">
        <v>45658</v>
      </c>
      <c r="C5" t="s">
        <v>15</v>
      </c>
      <c r="D5" t="s">
        <v>19</v>
      </c>
      <c r="E5">
        <v>480</v>
      </c>
      <c r="F5">
        <v>59</v>
      </c>
      <c r="G5">
        <v>1444</v>
      </c>
      <c r="H5">
        <v>1425</v>
      </c>
      <c r="I5">
        <v>19</v>
      </c>
      <c r="J5">
        <v>13.8</v>
      </c>
      <c r="K5">
        <v>421</v>
      </c>
      <c r="L5">
        <v>0.87708333333333333</v>
      </c>
      <c r="M5">
        <v>0.78888361045130639</v>
      </c>
      <c r="N5">
        <v>0.98684210526315785</v>
      </c>
      <c r="O5">
        <v>0.68281249999999993</v>
      </c>
    </row>
    <row r="6" spans="1:15" x14ac:dyDescent="0.3">
      <c r="A6">
        <v>5</v>
      </c>
      <c r="B6" s="1">
        <v>45658</v>
      </c>
      <c r="C6" t="s">
        <v>20</v>
      </c>
      <c r="D6" t="s">
        <v>16</v>
      </c>
      <c r="E6">
        <v>480</v>
      </c>
      <c r="F6">
        <v>203</v>
      </c>
      <c r="G6">
        <v>1138</v>
      </c>
      <c r="H6">
        <v>1098</v>
      </c>
      <c r="I6">
        <v>40</v>
      </c>
      <c r="J6">
        <v>12</v>
      </c>
      <c r="K6">
        <v>277</v>
      </c>
      <c r="L6">
        <v>0.57708333333333328</v>
      </c>
      <c r="M6">
        <v>0.8216606498194946</v>
      </c>
      <c r="N6">
        <v>0.96485061511423553</v>
      </c>
      <c r="O6">
        <v>0.45749999999999996</v>
      </c>
    </row>
    <row r="7" spans="1:15" x14ac:dyDescent="0.3">
      <c r="A7">
        <v>6</v>
      </c>
      <c r="B7" s="1">
        <v>45658</v>
      </c>
      <c r="C7" t="s">
        <v>20</v>
      </c>
      <c r="D7" t="s">
        <v>17</v>
      </c>
      <c r="E7">
        <v>480</v>
      </c>
      <c r="F7">
        <v>89</v>
      </c>
      <c r="G7">
        <v>1798</v>
      </c>
      <c r="H7">
        <v>1700</v>
      </c>
      <c r="I7">
        <v>98</v>
      </c>
      <c r="J7">
        <v>12.6</v>
      </c>
      <c r="K7">
        <v>391</v>
      </c>
      <c r="L7">
        <v>0.81458333333333333</v>
      </c>
      <c r="M7">
        <v>0.96567774936061379</v>
      </c>
      <c r="N7">
        <v>0.94549499443826479</v>
      </c>
      <c r="O7">
        <v>0.74375000000000002</v>
      </c>
    </row>
    <row r="8" spans="1:15" x14ac:dyDescent="0.3">
      <c r="A8">
        <v>7</v>
      </c>
      <c r="B8" s="1">
        <v>45658</v>
      </c>
      <c r="C8" t="s">
        <v>20</v>
      </c>
      <c r="D8" t="s">
        <v>18</v>
      </c>
      <c r="E8">
        <v>480</v>
      </c>
      <c r="F8">
        <v>27</v>
      </c>
      <c r="G8">
        <v>1672</v>
      </c>
      <c r="H8">
        <v>1586</v>
      </c>
      <c r="I8">
        <v>86</v>
      </c>
      <c r="J8">
        <v>13.2</v>
      </c>
      <c r="K8">
        <v>453</v>
      </c>
      <c r="L8">
        <v>0.94374999999999998</v>
      </c>
      <c r="M8">
        <v>0.81200883002207502</v>
      </c>
      <c r="N8">
        <v>0.94856459330143539</v>
      </c>
      <c r="O8">
        <v>0.72691666666666666</v>
      </c>
    </row>
    <row r="9" spans="1:15" x14ac:dyDescent="0.3">
      <c r="A9">
        <v>8</v>
      </c>
      <c r="B9" s="1">
        <v>45658</v>
      </c>
      <c r="C9" t="s">
        <v>20</v>
      </c>
      <c r="D9" t="s">
        <v>19</v>
      </c>
      <c r="E9">
        <v>480</v>
      </c>
      <c r="F9">
        <v>5</v>
      </c>
      <c r="G9">
        <v>1929</v>
      </c>
      <c r="H9">
        <v>1903</v>
      </c>
      <c r="I9">
        <v>26</v>
      </c>
      <c r="J9">
        <v>13.8</v>
      </c>
      <c r="K9">
        <v>475</v>
      </c>
      <c r="L9">
        <v>0.98958333333333337</v>
      </c>
      <c r="M9">
        <v>0.9340421052631579</v>
      </c>
      <c r="N9">
        <v>0.98652151373768793</v>
      </c>
      <c r="O9">
        <v>0.91185416666666663</v>
      </c>
    </row>
    <row r="10" spans="1:15" x14ac:dyDescent="0.3">
      <c r="A10">
        <v>9</v>
      </c>
      <c r="B10" s="1">
        <v>45658</v>
      </c>
      <c r="C10" t="s">
        <v>21</v>
      </c>
      <c r="D10" t="s">
        <v>16</v>
      </c>
      <c r="E10">
        <v>480</v>
      </c>
      <c r="F10">
        <v>115</v>
      </c>
      <c r="G10">
        <v>1692</v>
      </c>
      <c r="H10">
        <v>1669</v>
      </c>
      <c r="I10">
        <v>23</v>
      </c>
      <c r="J10">
        <v>12</v>
      </c>
      <c r="K10">
        <v>365</v>
      </c>
      <c r="L10">
        <v>0.76041666666666663</v>
      </c>
      <c r="M10">
        <v>0.92712328767123287</v>
      </c>
      <c r="N10">
        <v>0.9864066193853428</v>
      </c>
      <c r="O10">
        <v>0.69541666666666668</v>
      </c>
    </row>
    <row r="11" spans="1:15" x14ac:dyDescent="0.3">
      <c r="A11">
        <v>10</v>
      </c>
      <c r="B11" s="1">
        <v>45658</v>
      </c>
      <c r="C11" t="s">
        <v>21</v>
      </c>
      <c r="D11" t="s">
        <v>17</v>
      </c>
      <c r="E11">
        <v>480</v>
      </c>
      <c r="F11">
        <v>24</v>
      </c>
      <c r="G11">
        <v>1793</v>
      </c>
      <c r="H11">
        <v>1770</v>
      </c>
      <c r="I11">
        <v>23</v>
      </c>
      <c r="J11">
        <v>12.6</v>
      </c>
      <c r="K11">
        <v>456</v>
      </c>
      <c r="L11">
        <v>0.95</v>
      </c>
      <c r="M11">
        <v>0.82572368421052633</v>
      </c>
      <c r="N11">
        <v>0.98717233686558836</v>
      </c>
      <c r="O11">
        <v>0.77437500000000004</v>
      </c>
    </row>
    <row r="12" spans="1:15" x14ac:dyDescent="0.3">
      <c r="A12">
        <v>11</v>
      </c>
      <c r="B12" s="1">
        <v>45658</v>
      </c>
      <c r="C12" t="s">
        <v>21</v>
      </c>
      <c r="D12" t="s">
        <v>18</v>
      </c>
      <c r="E12">
        <v>480</v>
      </c>
      <c r="F12">
        <v>30</v>
      </c>
      <c r="G12">
        <v>1951</v>
      </c>
      <c r="H12">
        <v>1886</v>
      </c>
      <c r="I12">
        <v>65</v>
      </c>
      <c r="J12">
        <v>13.2</v>
      </c>
      <c r="K12">
        <v>450</v>
      </c>
      <c r="L12">
        <v>0.9375</v>
      </c>
      <c r="M12">
        <v>0.95382222222222213</v>
      </c>
      <c r="N12">
        <v>0.96668375192209122</v>
      </c>
      <c r="O12">
        <v>0.86441666666666661</v>
      </c>
    </row>
    <row r="13" spans="1:15" x14ac:dyDescent="0.3">
      <c r="A13">
        <v>12</v>
      </c>
      <c r="B13" s="1">
        <v>45658</v>
      </c>
      <c r="C13" t="s">
        <v>21</v>
      </c>
      <c r="D13" t="s">
        <v>19</v>
      </c>
      <c r="E13">
        <v>480</v>
      </c>
      <c r="F13">
        <v>0</v>
      </c>
      <c r="G13">
        <v>1907</v>
      </c>
      <c r="H13">
        <v>1816</v>
      </c>
      <c r="I13">
        <v>91</v>
      </c>
      <c r="J13">
        <v>13.8</v>
      </c>
      <c r="K13">
        <v>480</v>
      </c>
      <c r="L13">
        <v>1</v>
      </c>
      <c r="M13">
        <v>0.91377083333333342</v>
      </c>
      <c r="N13">
        <v>0.95228106974305193</v>
      </c>
      <c r="O13">
        <v>0.87016666666666675</v>
      </c>
    </row>
    <row r="14" spans="1:15" x14ac:dyDescent="0.3">
      <c r="A14">
        <v>13</v>
      </c>
      <c r="B14" s="1">
        <v>45659</v>
      </c>
      <c r="C14" t="s">
        <v>15</v>
      </c>
      <c r="D14" t="s">
        <v>16</v>
      </c>
      <c r="E14">
        <v>480</v>
      </c>
      <c r="F14">
        <v>16</v>
      </c>
      <c r="G14">
        <v>1756</v>
      </c>
      <c r="H14">
        <v>1683</v>
      </c>
      <c r="I14">
        <v>73</v>
      </c>
      <c r="J14">
        <v>12</v>
      </c>
      <c r="K14">
        <v>464</v>
      </c>
      <c r="L14">
        <v>0.96666666666666667</v>
      </c>
      <c r="M14">
        <v>0.75689655172413794</v>
      </c>
      <c r="N14">
        <v>0.95842824601366738</v>
      </c>
      <c r="O14">
        <v>0.70125000000000004</v>
      </c>
    </row>
    <row r="15" spans="1:15" x14ac:dyDescent="0.3">
      <c r="A15">
        <v>14</v>
      </c>
      <c r="B15" s="1">
        <v>45659</v>
      </c>
      <c r="C15" t="s">
        <v>15</v>
      </c>
      <c r="D15" t="s">
        <v>17</v>
      </c>
      <c r="E15">
        <v>480</v>
      </c>
      <c r="F15">
        <v>7</v>
      </c>
      <c r="G15">
        <v>1901</v>
      </c>
      <c r="H15">
        <v>1811</v>
      </c>
      <c r="I15">
        <v>90</v>
      </c>
      <c r="J15">
        <v>12.6</v>
      </c>
      <c r="K15">
        <v>473</v>
      </c>
      <c r="L15">
        <v>0.98541666666666672</v>
      </c>
      <c r="M15">
        <v>0.84399577167019024</v>
      </c>
      <c r="N15">
        <v>0.95265649658074703</v>
      </c>
      <c r="O15">
        <v>0.79231250000000009</v>
      </c>
    </row>
    <row r="16" spans="1:15" x14ac:dyDescent="0.3">
      <c r="A16">
        <v>15</v>
      </c>
      <c r="B16" s="1">
        <v>45659</v>
      </c>
      <c r="C16" t="s">
        <v>15</v>
      </c>
      <c r="D16" t="s">
        <v>18</v>
      </c>
      <c r="E16">
        <v>480</v>
      </c>
      <c r="F16">
        <v>7</v>
      </c>
      <c r="G16">
        <v>2072</v>
      </c>
      <c r="H16">
        <v>1968</v>
      </c>
      <c r="I16">
        <v>104</v>
      </c>
      <c r="J16">
        <v>13.2</v>
      </c>
      <c r="K16">
        <v>473</v>
      </c>
      <c r="L16">
        <v>0.98541666666666672</v>
      </c>
      <c r="M16">
        <v>0.96372093023255812</v>
      </c>
      <c r="N16">
        <v>0.9498069498069498</v>
      </c>
      <c r="O16">
        <v>0.90200000000000002</v>
      </c>
    </row>
    <row r="17" spans="1:15" x14ac:dyDescent="0.3">
      <c r="A17">
        <v>16</v>
      </c>
      <c r="B17" s="1">
        <v>45659</v>
      </c>
      <c r="C17" t="s">
        <v>15</v>
      </c>
      <c r="D17" t="s">
        <v>19</v>
      </c>
      <c r="E17">
        <v>480</v>
      </c>
      <c r="F17">
        <v>57</v>
      </c>
      <c r="G17">
        <v>1475</v>
      </c>
      <c r="H17">
        <v>1429</v>
      </c>
      <c r="I17">
        <v>46</v>
      </c>
      <c r="J17">
        <v>13.8</v>
      </c>
      <c r="K17">
        <v>423</v>
      </c>
      <c r="L17">
        <v>0.88124999999999998</v>
      </c>
      <c r="M17">
        <v>0.80200945626477538</v>
      </c>
      <c r="N17">
        <v>0.96881355932203395</v>
      </c>
      <c r="O17">
        <v>0.68472916666666661</v>
      </c>
    </row>
    <row r="18" spans="1:15" x14ac:dyDescent="0.3">
      <c r="A18">
        <v>17</v>
      </c>
      <c r="B18" s="1">
        <v>45659</v>
      </c>
      <c r="C18" t="s">
        <v>20</v>
      </c>
      <c r="D18" t="s">
        <v>16</v>
      </c>
      <c r="E18">
        <v>480</v>
      </c>
      <c r="F18">
        <v>15</v>
      </c>
      <c r="G18">
        <v>1924</v>
      </c>
      <c r="H18">
        <v>1815</v>
      </c>
      <c r="I18">
        <v>109</v>
      </c>
      <c r="J18">
        <v>12</v>
      </c>
      <c r="K18">
        <v>465</v>
      </c>
      <c r="L18">
        <v>0.96875</v>
      </c>
      <c r="M18">
        <v>0.8275268817204301</v>
      </c>
      <c r="N18">
        <v>0.9433471933471933</v>
      </c>
      <c r="O18">
        <v>0.75624999999999998</v>
      </c>
    </row>
    <row r="19" spans="1:15" x14ac:dyDescent="0.3">
      <c r="A19">
        <v>18</v>
      </c>
      <c r="B19" s="1">
        <v>45659</v>
      </c>
      <c r="C19" t="s">
        <v>20</v>
      </c>
      <c r="D19" t="s">
        <v>17</v>
      </c>
      <c r="E19">
        <v>480</v>
      </c>
      <c r="F19">
        <v>13</v>
      </c>
      <c r="G19">
        <v>2164</v>
      </c>
      <c r="H19">
        <v>2039</v>
      </c>
      <c r="I19">
        <v>125</v>
      </c>
      <c r="J19">
        <v>12.6</v>
      </c>
      <c r="K19">
        <v>467</v>
      </c>
      <c r="L19">
        <v>0.97291666666666665</v>
      </c>
      <c r="M19">
        <v>0.97310492505353308</v>
      </c>
      <c r="N19">
        <v>0.94223659889094269</v>
      </c>
      <c r="O19">
        <v>0.89206249999999987</v>
      </c>
    </row>
    <row r="20" spans="1:15" x14ac:dyDescent="0.3">
      <c r="A20">
        <v>19</v>
      </c>
      <c r="B20" s="1">
        <v>45659</v>
      </c>
      <c r="C20" t="s">
        <v>20</v>
      </c>
      <c r="D20" t="s">
        <v>18</v>
      </c>
      <c r="E20">
        <v>480</v>
      </c>
      <c r="F20">
        <v>15</v>
      </c>
      <c r="G20">
        <v>1603</v>
      </c>
      <c r="H20">
        <v>1539</v>
      </c>
      <c r="I20">
        <v>64</v>
      </c>
      <c r="J20">
        <v>13.2</v>
      </c>
      <c r="K20">
        <v>465</v>
      </c>
      <c r="L20">
        <v>0.96875</v>
      </c>
      <c r="M20">
        <v>0.75840860215053763</v>
      </c>
      <c r="N20">
        <v>0.9600748596381784</v>
      </c>
      <c r="O20">
        <v>0.70537499999999997</v>
      </c>
    </row>
    <row r="21" spans="1:15" x14ac:dyDescent="0.3">
      <c r="A21">
        <v>20</v>
      </c>
      <c r="B21" s="1">
        <v>45659</v>
      </c>
      <c r="C21" t="s">
        <v>20</v>
      </c>
      <c r="D21" t="s">
        <v>19</v>
      </c>
      <c r="E21">
        <v>480</v>
      </c>
      <c r="F21">
        <v>107</v>
      </c>
      <c r="G21">
        <v>1305</v>
      </c>
      <c r="H21">
        <v>1283</v>
      </c>
      <c r="I21">
        <v>22</v>
      </c>
      <c r="J21">
        <v>13.8</v>
      </c>
      <c r="K21">
        <v>373</v>
      </c>
      <c r="L21">
        <v>0.77708333333333335</v>
      </c>
      <c r="M21">
        <v>0.80469168900804289</v>
      </c>
      <c r="N21">
        <v>0.98314176245210727</v>
      </c>
      <c r="O21">
        <v>0.61477083333333338</v>
      </c>
    </row>
    <row r="22" spans="1:15" x14ac:dyDescent="0.3">
      <c r="A22">
        <v>21</v>
      </c>
      <c r="B22" s="1">
        <v>45659</v>
      </c>
      <c r="C22" t="s">
        <v>21</v>
      </c>
      <c r="D22" t="s">
        <v>16</v>
      </c>
      <c r="E22">
        <v>480</v>
      </c>
      <c r="F22">
        <v>101</v>
      </c>
      <c r="G22">
        <v>1581</v>
      </c>
      <c r="H22">
        <v>1516</v>
      </c>
      <c r="I22">
        <v>65</v>
      </c>
      <c r="J22">
        <v>12</v>
      </c>
      <c r="K22">
        <v>379</v>
      </c>
      <c r="L22">
        <v>0.7895833333333333</v>
      </c>
      <c r="M22">
        <v>0.83430079155672821</v>
      </c>
      <c r="N22">
        <v>0.95888678051865905</v>
      </c>
      <c r="O22">
        <v>0.6316666666666666</v>
      </c>
    </row>
    <row r="23" spans="1:15" x14ac:dyDescent="0.3">
      <c r="A23">
        <v>22</v>
      </c>
      <c r="B23" s="1">
        <v>45659</v>
      </c>
      <c r="C23" t="s">
        <v>21</v>
      </c>
      <c r="D23" t="s">
        <v>17</v>
      </c>
      <c r="E23">
        <v>480</v>
      </c>
      <c r="F23">
        <v>10</v>
      </c>
      <c r="G23">
        <v>1982</v>
      </c>
      <c r="H23">
        <v>1896</v>
      </c>
      <c r="I23">
        <v>86</v>
      </c>
      <c r="J23">
        <v>12.6</v>
      </c>
      <c r="K23">
        <v>470</v>
      </c>
      <c r="L23">
        <v>0.97916666666666663</v>
      </c>
      <c r="M23">
        <v>0.88557446808510643</v>
      </c>
      <c r="N23">
        <v>0.9566094853683148</v>
      </c>
      <c r="O23">
        <v>0.82950000000000002</v>
      </c>
    </row>
    <row r="24" spans="1:15" x14ac:dyDescent="0.3">
      <c r="A24">
        <v>23</v>
      </c>
      <c r="B24" s="1">
        <v>45659</v>
      </c>
      <c r="C24" t="s">
        <v>21</v>
      </c>
      <c r="D24" t="s">
        <v>18</v>
      </c>
      <c r="E24">
        <v>480</v>
      </c>
      <c r="F24">
        <v>0</v>
      </c>
      <c r="G24">
        <v>1893</v>
      </c>
      <c r="H24">
        <v>1853</v>
      </c>
      <c r="I24">
        <v>40</v>
      </c>
      <c r="J24">
        <v>13.2</v>
      </c>
      <c r="K24">
        <v>480</v>
      </c>
      <c r="L24">
        <v>1</v>
      </c>
      <c r="M24">
        <v>0.86762499999999998</v>
      </c>
      <c r="N24">
        <v>0.97886951928156363</v>
      </c>
      <c r="O24">
        <v>0.84929166666666667</v>
      </c>
    </row>
    <row r="25" spans="1:15" x14ac:dyDescent="0.3">
      <c r="A25">
        <v>24</v>
      </c>
      <c r="B25" s="1">
        <v>45659</v>
      </c>
      <c r="C25" t="s">
        <v>21</v>
      </c>
      <c r="D25" t="s">
        <v>19</v>
      </c>
      <c r="E25">
        <v>480</v>
      </c>
      <c r="F25">
        <v>14</v>
      </c>
      <c r="G25">
        <v>1956</v>
      </c>
      <c r="H25">
        <v>1923</v>
      </c>
      <c r="I25">
        <v>33</v>
      </c>
      <c r="J25">
        <v>13.8</v>
      </c>
      <c r="K25">
        <v>466</v>
      </c>
      <c r="L25">
        <v>0.97083333333333333</v>
      </c>
      <c r="M25">
        <v>0.96540772532188857</v>
      </c>
      <c r="N25">
        <v>0.98312883435582821</v>
      </c>
      <c r="O25">
        <v>0.92143750000000013</v>
      </c>
    </row>
    <row r="26" spans="1:15" x14ac:dyDescent="0.3">
      <c r="A26">
        <v>25</v>
      </c>
      <c r="B26" s="1">
        <v>45660</v>
      </c>
      <c r="C26" t="s">
        <v>15</v>
      </c>
      <c r="D26" t="s">
        <v>16</v>
      </c>
      <c r="E26">
        <v>480</v>
      </c>
      <c r="F26">
        <v>52</v>
      </c>
      <c r="G26">
        <v>1731</v>
      </c>
      <c r="H26">
        <v>1657</v>
      </c>
      <c r="I26">
        <v>74</v>
      </c>
      <c r="J26">
        <v>12</v>
      </c>
      <c r="K26">
        <v>428</v>
      </c>
      <c r="L26">
        <v>0.89166666666666672</v>
      </c>
      <c r="M26">
        <v>0.80887850467289724</v>
      </c>
      <c r="N26">
        <v>0.95725014442518774</v>
      </c>
      <c r="O26">
        <v>0.69041666666666668</v>
      </c>
    </row>
    <row r="27" spans="1:15" x14ac:dyDescent="0.3">
      <c r="A27">
        <v>26</v>
      </c>
      <c r="B27" s="1">
        <v>45660</v>
      </c>
      <c r="C27" t="s">
        <v>15</v>
      </c>
      <c r="D27" t="s">
        <v>17</v>
      </c>
      <c r="E27">
        <v>480</v>
      </c>
      <c r="F27">
        <v>146</v>
      </c>
      <c r="G27">
        <v>1458</v>
      </c>
      <c r="H27">
        <v>1379</v>
      </c>
      <c r="I27">
        <v>79</v>
      </c>
      <c r="J27">
        <v>12.6</v>
      </c>
      <c r="K27">
        <v>334</v>
      </c>
      <c r="L27">
        <v>0.6958333333333333</v>
      </c>
      <c r="M27">
        <v>0.91670658682634731</v>
      </c>
      <c r="N27">
        <v>0.94581618655692734</v>
      </c>
      <c r="O27">
        <v>0.60331250000000003</v>
      </c>
    </row>
    <row r="28" spans="1:15" x14ac:dyDescent="0.3">
      <c r="A28">
        <v>27</v>
      </c>
      <c r="B28" s="1">
        <v>45660</v>
      </c>
      <c r="C28" t="s">
        <v>15</v>
      </c>
      <c r="D28" t="s">
        <v>18</v>
      </c>
      <c r="E28">
        <v>480</v>
      </c>
      <c r="F28">
        <v>156</v>
      </c>
      <c r="G28">
        <v>1106</v>
      </c>
      <c r="H28">
        <v>1087</v>
      </c>
      <c r="I28">
        <v>19</v>
      </c>
      <c r="J28">
        <v>13.2</v>
      </c>
      <c r="K28">
        <v>324</v>
      </c>
      <c r="L28">
        <v>0.67500000000000004</v>
      </c>
      <c r="M28">
        <v>0.75098765432098757</v>
      </c>
      <c r="N28">
        <v>0.98282097649186262</v>
      </c>
      <c r="O28">
        <v>0.49820833333333336</v>
      </c>
    </row>
    <row r="29" spans="1:15" x14ac:dyDescent="0.3">
      <c r="A29">
        <v>28</v>
      </c>
      <c r="B29" s="1">
        <v>45660</v>
      </c>
      <c r="C29" t="s">
        <v>15</v>
      </c>
      <c r="D29" t="s">
        <v>19</v>
      </c>
      <c r="E29">
        <v>480</v>
      </c>
      <c r="F29">
        <v>125</v>
      </c>
      <c r="G29">
        <v>1391</v>
      </c>
      <c r="H29">
        <v>1338</v>
      </c>
      <c r="I29">
        <v>53</v>
      </c>
      <c r="J29">
        <v>13.8</v>
      </c>
      <c r="K29">
        <v>355</v>
      </c>
      <c r="L29">
        <v>0.73958333333333337</v>
      </c>
      <c r="M29">
        <v>0.90121126760563375</v>
      </c>
      <c r="N29">
        <v>0.96189791516894319</v>
      </c>
      <c r="O29">
        <v>0.64112499999999994</v>
      </c>
    </row>
    <row r="30" spans="1:15" x14ac:dyDescent="0.3">
      <c r="A30">
        <v>29</v>
      </c>
      <c r="B30" s="1">
        <v>45660</v>
      </c>
      <c r="C30" t="s">
        <v>20</v>
      </c>
      <c r="D30" t="s">
        <v>16</v>
      </c>
      <c r="E30">
        <v>480</v>
      </c>
      <c r="F30">
        <v>0</v>
      </c>
      <c r="G30">
        <v>2002</v>
      </c>
      <c r="H30">
        <v>1956</v>
      </c>
      <c r="I30">
        <v>46</v>
      </c>
      <c r="J30">
        <v>12</v>
      </c>
      <c r="K30">
        <v>480</v>
      </c>
      <c r="L30">
        <v>1</v>
      </c>
      <c r="M30">
        <v>0.83416666666666661</v>
      </c>
      <c r="N30">
        <v>0.97702297702297702</v>
      </c>
      <c r="O30">
        <v>0.81499999999999995</v>
      </c>
    </row>
    <row r="31" spans="1:15" x14ac:dyDescent="0.3">
      <c r="A31">
        <v>30</v>
      </c>
      <c r="B31" s="1">
        <v>45660</v>
      </c>
      <c r="C31" t="s">
        <v>20</v>
      </c>
      <c r="D31" t="s">
        <v>17</v>
      </c>
      <c r="E31">
        <v>480</v>
      </c>
      <c r="F31">
        <v>34</v>
      </c>
      <c r="G31">
        <v>1874</v>
      </c>
      <c r="H31">
        <v>1810</v>
      </c>
      <c r="I31">
        <v>64</v>
      </c>
      <c r="J31">
        <v>12.6</v>
      </c>
      <c r="K31">
        <v>446</v>
      </c>
      <c r="L31">
        <v>0.9291666666666667</v>
      </c>
      <c r="M31">
        <v>0.88237668161434968</v>
      </c>
      <c r="N31">
        <v>0.96584845250800422</v>
      </c>
      <c r="O31">
        <v>0.79187499999999988</v>
      </c>
    </row>
    <row r="32" spans="1:15" x14ac:dyDescent="0.3">
      <c r="A32">
        <v>31</v>
      </c>
      <c r="B32" s="1">
        <v>45660</v>
      </c>
      <c r="C32" t="s">
        <v>20</v>
      </c>
      <c r="D32" t="s">
        <v>18</v>
      </c>
      <c r="E32">
        <v>480</v>
      </c>
      <c r="F32">
        <v>0</v>
      </c>
      <c r="G32">
        <v>1998</v>
      </c>
      <c r="H32">
        <v>1950</v>
      </c>
      <c r="I32">
        <v>48</v>
      </c>
      <c r="J32">
        <v>13.2</v>
      </c>
      <c r="K32">
        <v>480</v>
      </c>
      <c r="L32">
        <v>1</v>
      </c>
      <c r="M32">
        <v>0.91574999999999995</v>
      </c>
      <c r="N32">
        <v>0.97597597597597596</v>
      </c>
      <c r="O32">
        <v>0.89374999999999993</v>
      </c>
    </row>
    <row r="33" spans="1:15" x14ac:dyDescent="0.3">
      <c r="A33">
        <v>32</v>
      </c>
      <c r="B33" s="1">
        <v>45660</v>
      </c>
      <c r="C33" t="s">
        <v>20</v>
      </c>
      <c r="D33" t="s">
        <v>19</v>
      </c>
      <c r="E33">
        <v>480</v>
      </c>
      <c r="F33">
        <v>0</v>
      </c>
      <c r="G33">
        <v>1875</v>
      </c>
      <c r="H33">
        <v>1840</v>
      </c>
      <c r="I33">
        <v>35</v>
      </c>
      <c r="J33">
        <v>13.8</v>
      </c>
      <c r="K33">
        <v>480</v>
      </c>
      <c r="L33">
        <v>1</v>
      </c>
      <c r="M33">
        <v>0.8984375</v>
      </c>
      <c r="N33">
        <v>0.98133333333333328</v>
      </c>
      <c r="O33">
        <v>0.8816666666666666</v>
      </c>
    </row>
    <row r="34" spans="1:15" x14ac:dyDescent="0.3">
      <c r="A34">
        <v>33</v>
      </c>
      <c r="B34" s="1">
        <v>45660</v>
      </c>
      <c r="C34" t="s">
        <v>21</v>
      </c>
      <c r="D34" t="s">
        <v>16</v>
      </c>
      <c r="E34">
        <v>480</v>
      </c>
      <c r="F34">
        <v>257</v>
      </c>
      <c r="G34">
        <v>917</v>
      </c>
      <c r="H34">
        <v>901</v>
      </c>
      <c r="I34">
        <v>16</v>
      </c>
      <c r="J34">
        <v>12</v>
      </c>
      <c r="K34">
        <v>223</v>
      </c>
      <c r="L34">
        <v>0.46458333333333335</v>
      </c>
      <c r="M34">
        <v>0.82242152466367713</v>
      </c>
      <c r="N34">
        <v>0.98255179934569248</v>
      </c>
      <c r="O34">
        <v>0.37541666666666668</v>
      </c>
    </row>
    <row r="35" spans="1:15" x14ac:dyDescent="0.3">
      <c r="A35">
        <v>34</v>
      </c>
      <c r="B35" s="1">
        <v>45660</v>
      </c>
      <c r="C35" t="s">
        <v>21</v>
      </c>
      <c r="D35" t="s">
        <v>17</v>
      </c>
      <c r="E35">
        <v>480</v>
      </c>
      <c r="F35">
        <v>92</v>
      </c>
      <c r="G35">
        <v>1700</v>
      </c>
      <c r="H35">
        <v>1624</v>
      </c>
      <c r="I35">
        <v>76</v>
      </c>
      <c r="J35">
        <v>12.6</v>
      </c>
      <c r="K35">
        <v>388</v>
      </c>
      <c r="L35">
        <v>0.80833333333333335</v>
      </c>
      <c r="M35">
        <v>0.92010309278350511</v>
      </c>
      <c r="N35">
        <v>0.95529411764705885</v>
      </c>
      <c r="O35">
        <v>0.71050000000000002</v>
      </c>
    </row>
    <row r="36" spans="1:15" x14ac:dyDescent="0.3">
      <c r="A36">
        <v>35</v>
      </c>
      <c r="B36" s="1">
        <v>45660</v>
      </c>
      <c r="C36" t="s">
        <v>21</v>
      </c>
      <c r="D36" t="s">
        <v>18</v>
      </c>
      <c r="E36">
        <v>480</v>
      </c>
      <c r="F36">
        <v>85</v>
      </c>
      <c r="G36">
        <v>1557</v>
      </c>
      <c r="H36">
        <v>1503</v>
      </c>
      <c r="I36">
        <v>54</v>
      </c>
      <c r="J36">
        <v>13.2</v>
      </c>
      <c r="K36">
        <v>395</v>
      </c>
      <c r="L36">
        <v>0.82291666666666663</v>
      </c>
      <c r="M36">
        <v>0.86718987341772147</v>
      </c>
      <c r="N36">
        <v>0.96531791907514453</v>
      </c>
      <c r="O36">
        <v>0.68887500000000002</v>
      </c>
    </row>
    <row r="37" spans="1:15" x14ac:dyDescent="0.3">
      <c r="A37">
        <v>36</v>
      </c>
      <c r="B37" s="1">
        <v>45660</v>
      </c>
      <c r="C37" t="s">
        <v>21</v>
      </c>
      <c r="D37" t="s">
        <v>19</v>
      </c>
      <c r="E37">
        <v>480</v>
      </c>
      <c r="F37">
        <v>70</v>
      </c>
      <c r="G37">
        <v>1674</v>
      </c>
      <c r="H37">
        <v>1628</v>
      </c>
      <c r="I37">
        <v>46</v>
      </c>
      <c r="J37">
        <v>13.8</v>
      </c>
      <c r="K37">
        <v>410</v>
      </c>
      <c r="L37">
        <v>0.85416666666666663</v>
      </c>
      <c r="M37">
        <v>0.93907317073170737</v>
      </c>
      <c r="N37">
        <v>0.97252090800477897</v>
      </c>
      <c r="O37">
        <v>0.78008333333333335</v>
      </c>
    </row>
    <row r="38" spans="1:15" x14ac:dyDescent="0.3">
      <c r="A38">
        <v>37</v>
      </c>
      <c r="B38" s="1">
        <v>45661</v>
      </c>
      <c r="C38" t="s">
        <v>15</v>
      </c>
      <c r="D38" t="s">
        <v>16</v>
      </c>
      <c r="E38">
        <v>480</v>
      </c>
      <c r="F38">
        <v>0</v>
      </c>
      <c r="G38">
        <v>2088</v>
      </c>
      <c r="H38">
        <v>1987</v>
      </c>
      <c r="I38">
        <v>101</v>
      </c>
      <c r="J38">
        <v>12</v>
      </c>
      <c r="K38">
        <v>480</v>
      </c>
      <c r="L38">
        <v>1</v>
      </c>
      <c r="M38">
        <v>0.87</v>
      </c>
      <c r="N38">
        <v>0.95162835249042144</v>
      </c>
      <c r="O38">
        <v>0.82791666666666663</v>
      </c>
    </row>
    <row r="39" spans="1:15" x14ac:dyDescent="0.3">
      <c r="A39">
        <v>38</v>
      </c>
      <c r="B39" s="1">
        <v>45661</v>
      </c>
      <c r="C39" t="s">
        <v>15</v>
      </c>
      <c r="D39" t="s">
        <v>17</v>
      </c>
      <c r="E39">
        <v>480</v>
      </c>
      <c r="F39">
        <v>0</v>
      </c>
      <c r="G39">
        <v>2041</v>
      </c>
      <c r="H39">
        <v>2012</v>
      </c>
      <c r="I39">
        <v>29</v>
      </c>
      <c r="J39">
        <v>12.6</v>
      </c>
      <c r="K39">
        <v>480</v>
      </c>
      <c r="L39">
        <v>1</v>
      </c>
      <c r="M39">
        <v>0.89293749999999994</v>
      </c>
      <c r="N39">
        <v>0.98579127878490935</v>
      </c>
      <c r="O39">
        <v>0.88024999999999998</v>
      </c>
    </row>
    <row r="40" spans="1:15" x14ac:dyDescent="0.3">
      <c r="A40">
        <v>39</v>
      </c>
      <c r="B40" s="1">
        <v>45661</v>
      </c>
      <c r="C40" t="s">
        <v>15</v>
      </c>
      <c r="D40" t="s">
        <v>18</v>
      </c>
      <c r="E40">
        <v>480</v>
      </c>
      <c r="F40">
        <v>0</v>
      </c>
      <c r="G40">
        <v>1903</v>
      </c>
      <c r="H40">
        <v>1833</v>
      </c>
      <c r="I40">
        <v>70</v>
      </c>
      <c r="J40">
        <v>13.2</v>
      </c>
      <c r="K40">
        <v>480</v>
      </c>
      <c r="L40">
        <v>1</v>
      </c>
      <c r="M40">
        <v>0.87220833333333325</v>
      </c>
      <c r="N40">
        <v>0.96321597477666843</v>
      </c>
      <c r="O40">
        <v>0.8401249999999999</v>
      </c>
    </row>
    <row r="41" spans="1:15" x14ac:dyDescent="0.3">
      <c r="A41">
        <v>40</v>
      </c>
      <c r="B41" s="1">
        <v>45661</v>
      </c>
      <c r="C41" t="s">
        <v>15</v>
      </c>
      <c r="D41" t="s">
        <v>19</v>
      </c>
      <c r="E41">
        <v>480</v>
      </c>
      <c r="F41">
        <v>174</v>
      </c>
      <c r="G41">
        <v>1122</v>
      </c>
      <c r="H41">
        <v>1102</v>
      </c>
      <c r="I41">
        <v>20</v>
      </c>
      <c r="J41">
        <v>13.8</v>
      </c>
      <c r="K41">
        <v>306</v>
      </c>
      <c r="L41">
        <v>0.63749999999999996</v>
      </c>
      <c r="M41">
        <v>0.84333333333333338</v>
      </c>
      <c r="N41">
        <v>0.982174688057041</v>
      </c>
      <c r="O41">
        <v>0.52804166666666674</v>
      </c>
    </row>
    <row r="42" spans="1:15" x14ac:dyDescent="0.3">
      <c r="A42">
        <v>41</v>
      </c>
      <c r="B42" s="1">
        <v>45661</v>
      </c>
      <c r="C42" t="s">
        <v>20</v>
      </c>
      <c r="D42" t="s">
        <v>16</v>
      </c>
      <c r="E42">
        <v>480</v>
      </c>
      <c r="F42">
        <v>0</v>
      </c>
      <c r="G42">
        <v>1938</v>
      </c>
      <c r="H42">
        <v>1866</v>
      </c>
      <c r="I42">
        <v>72</v>
      </c>
      <c r="J42">
        <v>12</v>
      </c>
      <c r="K42">
        <v>480</v>
      </c>
      <c r="L42">
        <v>1</v>
      </c>
      <c r="M42">
        <v>0.8075</v>
      </c>
      <c r="N42">
        <v>0.96284829721362231</v>
      </c>
      <c r="O42">
        <v>0.77749999999999997</v>
      </c>
    </row>
    <row r="43" spans="1:15" x14ac:dyDescent="0.3">
      <c r="A43">
        <v>42</v>
      </c>
      <c r="B43" s="1">
        <v>45661</v>
      </c>
      <c r="C43" t="s">
        <v>20</v>
      </c>
      <c r="D43" t="s">
        <v>17</v>
      </c>
      <c r="E43">
        <v>480</v>
      </c>
      <c r="F43">
        <v>98</v>
      </c>
      <c r="G43">
        <v>1539</v>
      </c>
      <c r="H43">
        <v>1505</v>
      </c>
      <c r="I43">
        <v>34</v>
      </c>
      <c r="J43">
        <v>12.6</v>
      </c>
      <c r="K43">
        <v>382</v>
      </c>
      <c r="L43">
        <v>0.79583333333333328</v>
      </c>
      <c r="M43">
        <v>0.84604712041884811</v>
      </c>
      <c r="N43">
        <v>0.97790773229369721</v>
      </c>
      <c r="O43">
        <v>0.6584374999999999</v>
      </c>
    </row>
    <row r="44" spans="1:15" x14ac:dyDescent="0.3">
      <c r="A44">
        <v>43</v>
      </c>
      <c r="B44" s="1">
        <v>45661</v>
      </c>
      <c r="C44" t="s">
        <v>20</v>
      </c>
      <c r="D44" t="s">
        <v>18</v>
      </c>
      <c r="E44">
        <v>480</v>
      </c>
      <c r="F44">
        <v>92</v>
      </c>
      <c r="G44">
        <v>1608</v>
      </c>
      <c r="H44">
        <v>1554</v>
      </c>
      <c r="I44">
        <v>54</v>
      </c>
      <c r="J44">
        <v>13.2</v>
      </c>
      <c r="K44">
        <v>388</v>
      </c>
      <c r="L44">
        <v>0.80833333333333335</v>
      </c>
      <c r="M44">
        <v>0.91175257731958759</v>
      </c>
      <c r="N44">
        <v>0.96641791044776115</v>
      </c>
      <c r="O44">
        <v>0.71224999999999994</v>
      </c>
    </row>
    <row r="45" spans="1:15" x14ac:dyDescent="0.3">
      <c r="A45">
        <v>44</v>
      </c>
      <c r="B45" s="1">
        <v>45661</v>
      </c>
      <c r="C45" t="s">
        <v>20</v>
      </c>
      <c r="D45" t="s">
        <v>19</v>
      </c>
      <c r="E45">
        <v>480</v>
      </c>
      <c r="F45">
        <v>0</v>
      </c>
      <c r="G45">
        <v>1801</v>
      </c>
      <c r="H45">
        <v>1741</v>
      </c>
      <c r="I45">
        <v>60</v>
      </c>
      <c r="J45">
        <v>13.8</v>
      </c>
      <c r="K45">
        <v>480</v>
      </c>
      <c r="L45">
        <v>1</v>
      </c>
      <c r="M45">
        <v>0.86297916666666674</v>
      </c>
      <c r="N45">
        <v>0.96668517490283179</v>
      </c>
      <c r="O45">
        <v>0.8342291666666668</v>
      </c>
    </row>
    <row r="46" spans="1:15" x14ac:dyDescent="0.3">
      <c r="A46">
        <v>45</v>
      </c>
      <c r="B46" s="1">
        <v>45661</v>
      </c>
      <c r="C46" t="s">
        <v>21</v>
      </c>
      <c r="D46" t="s">
        <v>16</v>
      </c>
      <c r="E46">
        <v>480</v>
      </c>
      <c r="F46">
        <v>0</v>
      </c>
      <c r="G46">
        <v>2039</v>
      </c>
      <c r="H46">
        <v>1978</v>
      </c>
      <c r="I46">
        <v>61</v>
      </c>
      <c r="J46">
        <v>12</v>
      </c>
      <c r="K46">
        <v>480</v>
      </c>
      <c r="L46">
        <v>1</v>
      </c>
      <c r="M46">
        <v>0.84958333333333336</v>
      </c>
      <c r="N46">
        <v>0.97008337420304069</v>
      </c>
      <c r="O46">
        <v>0.82416666666666671</v>
      </c>
    </row>
    <row r="47" spans="1:15" x14ac:dyDescent="0.3">
      <c r="A47">
        <v>46</v>
      </c>
      <c r="B47" s="1">
        <v>45661</v>
      </c>
      <c r="C47" t="s">
        <v>21</v>
      </c>
      <c r="D47" t="s">
        <v>17</v>
      </c>
      <c r="E47">
        <v>480</v>
      </c>
      <c r="F47">
        <v>57</v>
      </c>
      <c r="G47">
        <v>1815</v>
      </c>
      <c r="H47">
        <v>1783</v>
      </c>
      <c r="I47">
        <v>32</v>
      </c>
      <c r="J47">
        <v>12.6</v>
      </c>
      <c r="K47">
        <v>423</v>
      </c>
      <c r="L47">
        <v>0.88124999999999998</v>
      </c>
      <c r="M47">
        <v>0.90106382978723409</v>
      </c>
      <c r="N47">
        <v>0.98236914600550962</v>
      </c>
      <c r="O47">
        <v>0.78006249999999999</v>
      </c>
    </row>
    <row r="48" spans="1:15" x14ac:dyDescent="0.3">
      <c r="A48">
        <v>47</v>
      </c>
      <c r="B48" s="1">
        <v>45661</v>
      </c>
      <c r="C48" t="s">
        <v>21</v>
      </c>
      <c r="D48" t="s">
        <v>18</v>
      </c>
      <c r="E48">
        <v>480</v>
      </c>
      <c r="F48">
        <v>0</v>
      </c>
      <c r="G48">
        <v>1958</v>
      </c>
      <c r="H48">
        <v>1936</v>
      </c>
      <c r="I48">
        <v>22</v>
      </c>
      <c r="J48">
        <v>13.2</v>
      </c>
      <c r="K48">
        <v>480</v>
      </c>
      <c r="L48">
        <v>1</v>
      </c>
      <c r="M48">
        <v>0.89741666666666664</v>
      </c>
      <c r="N48">
        <v>0.9887640449438202</v>
      </c>
      <c r="O48">
        <v>0.88733333333333331</v>
      </c>
    </row>
    <row r="49" spans="1:15" x14ac:dyDescent="0.3">
      <c r="A49">
        <v>48</v>
      </c>
      <c r="B49" s="1">
        <v>45661</v>
      </c>
      <c r="C49" t="s">
        <v>21</v>
      </c>
      <c r="D49" t="s">
        <v>19</v>
      </c>
      <c r="E49">
        <v>480</v>
      </c>
      <c r="F49">
        <v>138</v>
      </c>
      <c r="G49">
        <v>1424</v>
      </c>
      <c r="H49">
        <v>1396</v>
      </c>
      <c r="I49">
        <v>28</v>
      </c>
      <c r="J49">
        <v>13.8</v>
      </c>
      <c r="K49">
        <v>342</v>
      </c>
      <c r="L49">
        <v>0.71250000000000002</v>
      </c>
      <c r="M49">
        <v>0.95766081871345032</v>
      </c>
      <c r="N49">
        <v>0.9803370786516854</v>
      </c>
      <c r="O49">
        <v>0.66891666666666671</v>
      </c>
    </row>
    <row r="50" spans="1:15" x14ac:dyDescent="0.3">
      <c r="A50">
        <v>49</v>
      </c>
      <c r="B50" s="1">
        <v>45662</v>
      </c>
      <c r="C50" t="s">
        <v>15</v>
      </c>
      <c r="D50" t="s">
        <v>16</v>
      </c>
      <c r="E50">
        <v>480</v>
      </c>
      <c r="F50">
        <v>0</v>
      </c>
      <c r="G50">
        <v>1855</v>
      </c>
      <c r="H50">
        <v>1835</v>
      </c>
      <c r="I50">
        <v>20</v>
      </c>
      <c r="J50">
        <v>12</v>
      </c>
      <c r="K50">
        <v>480</v>
      </c>
      <c r="L50">
        <v>1</v>
      </c>
      <c r="M50">
        <v>0.7729166666666667</v>
      </c>
      <c r="N50">
        <v>0.98921832884097038</v>
      </c>
      <c r="O50">
        <v>0.76458333333333339</v>
      </c>
    </row>
    <row r="51" spans="1:15" x14ac:dyDescent="0.3">
      <c r="A51">
        <v>50</v>
      </c>
      <c r="B51" s="1">
        <v>45662</v>
      </c>
      <c r="C51" t="s">
        <v>15</v>
      </c>
      <c r="D51" t="s">
        <v>17</v>
      </c>
      <c r="E51">
        <v>480</v>
      </c>
      <c r="F51">
        <v>0</v>
      </c>
      <c r="G51">
        <v>2073</v>
      </c>
      <c r="H51">
        <v>2045</v>
      </c>
      <c r="I51">
        <v>28</v>
      </c>
      <c r="J51">
        <v>12.6</v>
      </c>
      <c r="K51">
        <v>480</v>
      </c>
      <c r="L51">
        <v>1</v>
      </c>
      <c r="M51">
        <v>0.90693749999999995</v>
      </c>
      <c r="N51">
        <v>0.98649300530631934</v>
      </c>
      <c r="O51">
        <v>0.89468749999999997</v>
      </c>
    </row>
    <row r="52" spans="1:15" x14ac:dyDescent="0.3">
      <c r="A52">
        <v>51</v>
      </c>
      <c r="B52" s="1">
        <v>45662</v>
      </c>
      <c r="C52" t="s">
        <v>15</v>
      </c>
      <c r="D52" t="s">
        <v>18</v>
      </c>
      <c r="E52">
        <v>480</v>
      </c>
      <c r="F52">
        <v>58</v>
      </c>
      <c r="G52">
        <v>1716</v>
      </c>
      <c r="H52">
        <v>1624</v>
      </c>
      <c r="I52">
        <v>92</v>
      </c>
      <c r="J52">
        <v>13.2</v>
      </c>
      <c r="K52">
        <v>422</v>
      </c>
      <c r="L52">
        <v>0.87916666666666665</v>
      </c>
      <c r="M52">
        <v>0.89459715639810411</v>
      </c>
      <c r="N52">
        <v>0.94638694638694643</v>
      </c>
      <c r="O52">
        <v>0.74433333333333329</v>
      </c>
    </row>
    <row r="53" spans="1:15" x14ac:dyDescent="0.3">
      <c r="A53">
        <v>52</v>
      </c>
      <c r="B53" s="1">
        <v>45662</v>
      </c>
      <c r="C53" t="s">
        <v>15</v>
      </c>
      <c r="D53" t="s">
        <v>19</v>
      </c>
      <c r="E53">
        <v>480</v>
      </c>
      <c r="F53">
        <v>131</v>
      </c>
      <c r="G53">
        <v>1282</v>
      </c>
      <c r="H53">
        <v>1246</v>
      </c>
      <c r="I53">
        <v>36</v>
      </c>
      <c r="J53">
        <v>13.8</v>
      </c>
      <c r="K53">
        <v>349</v>
      </c>
      <c r="L53">
        <v>0.7270833333333333</v>
      </c>
      <c r="M53">
        <v>0.84487106017191993</v>
      </c>
      <c r="N53">
        <v>0.97191887675507016</v>
      </c>
      <c r="O53">
        <v>0.5970416666666668</v>
      </c>
    </row>
    <row r="54" spans="1:15" x14ac:dyDescent="0.3">
      <c r="A54">
        <v>53</v>
      </c>
      <c r="B54" s="1">
        <v>45662</v>
      </c>
      <c r="C54" t="s">
        <v>20</v>
      </c>
      <c r="D54" t="s">
        <v>16</v>
      </c>
      <c r="E54">
        <v>480</v>
      </c>
      <c r="F54">
        <v>49</v>
      </c>
      <c r="G54">
        <v>2025</v>
      </c>
      <c r="H54">
        <v>1973</v>
      </c>
      <c r="I54">
        <v>52</v>
      </c>
      <c r="J54">
        <v>12</v>
      </c>
      <c r="K54">
        <v>431</v>
      </c>
      <c r="L54">
        <v>0.8979166666666667</v>
      </c>
      <c r="M54">
        <v>0.93967517401392109</v>
      </c>
      <c r="N54">
        <v>0.97432098765432096</v>
      </c>
      <c r="O54">
        <v>0.82208333333333328</v>
      </c>
    </row>
    <row r="55" spans="1:15" x14ac:dyDescent="0.3">
      <c r="A55">
        <v>54</v>
      </c>
      <c r="B55" s="1">
        <v>45662</v>
      </c>
      <c r="C55" t="s">
        <v>20</v>
      </c>
      <c r="D55" t="s">
        <v>17</v>
      </c>
      <c r="E55">
        <v>480</v>
      </c>
      <c r="F55">
        <v>139</v>
      </c>
      <c r="G55">
        <v>1572</v>
      </c>
      <c r="H55">
        <v>1512</v>
      </c>
      <c r="I55">
        <v>60</v>
      </c>
      <c r="J55">
        <v>12.6</v>
      </c>
      <c r="K55">
        <v>341</v>
      </c>
      <c r="L55">
        <v>0.7104166666666667</v>
      </c>
      <c r="M55">
        <v>0.96809384164222878</v>
      </c>
      <c r="N55">
        <v>0.96183206106870234</v>
      </c>
      <c r="O55">
        <v>0.66150000000000009</v>
      </c>
    </row>
    <row r="56" spans="1:15" x14ac:dyDescent="0.3">
      <c r="A56">
        <v>55</v>
      </c>
      <c r="B56" s="1">
        <v>45662</v>
      </c>
      <c r="C56" t="s">
        <v>20</v>
      </c>
      <c r="D56" t="s">
        <v>18</v>
      </c>
      <c r="E56">
        <v>480</v>
      </c>
      <c r="F56">
        <v>73</v>
      </c>
      <c r="G56">
        <v>1723</v>
      </c>
      <c r="H56">
        <v>1698</v>
      </c>
      <c r="I56">
        <v>25</v>
      </c>
      <c r="J56">
        <v>13.2</v>
      </c>
      <c r="K56">
        <v>407</v>
      </c>
      <c r="L56">
        <v>0.84791666666666665</v>
      </c>
      <c r="M56">
        <v>0.93135135135135128</v>
      </c>
      <c r="N56">
        <v>0.98549042367962858</v>
      </c>
      <c r="O56">
        <v>0.77824999999999989</v>
      </c>
    </row>
    <row r="57" spans="1:15" x14ac:dyDescent="0.3">
      <c r="A57">
        <v>56</v>
      </c>
      <c r="B57" s="1">
        <v>45662</v>
      </c>
      <c r="C57" t="s">
        <v>20</v>
      </c>
      <c r="D57" t="s">
        <v>19</v>
      </c>
      <c r="E57">
        <v>480</v>
      </c>
      <c r="F57">
        <v>11</v>
      </c>
      <c r="G57">
        <v>1945</v>
      </c>
      <c r="H57">
        <v>1892</v>
      </c>
      <c r="I57">
        <v>53</v>
      </c>
      <c r="J57">
        <v>13.8</v>
      </c>
      <c r="K57">
        <v>469</v>
      </c>
      <c r="L57">
        <v>0.9770833333333333</v>
      </c>
      <c r="M57">
        <v>0.9538379530916844</v>
      </c>
      <c r="N57">
        <v>0.97275064267352185</v>
      </c>
      <c r="O57">
        <v>0.9065833333333333</v>
      </c>
    </row>
    <row r="58" spans="1:15" x14ac:dyDescent="0.3">
      <c r="A58">
        <v>57</v>
      </c>
      <c r="B58" s="1">
        <v>45662</v>
      </c>
      <c r="C58" t="s">
        <v>21</v>
      </c>
      <c r="D58" t="s">
        <v>16</v>
      </c>
      <c r="E58">
        <v>480</v>
      </c>
      <c r="F58">
        <v>0</v>
      </c>
      <c r="G58">
        <v>1878</v>
      </c>
      <c r="H58">
        <v>1788</v>
      </c>
      <c r="I58">
        <v>90</v>
      </c>
      <c r="J58">
        <v>12</v>
      </c>
      <c r="K58">
        <v>480</v>
      </c>
      <c r="L58">
        <v>1</v>
      </c>
      <c r="M58">
        <v>0.78249999999999997</v>
      </c>
      <c r="N58">
        <v>0.95207667731629397</v>
      </c>
      <c r="O58">
        <v>0.745</v>
      </c>
    </row>
    <row r="59" spans="1:15" x14ac:dyDescent="0.3">
      <c r="A59">
        <v>58</v>
      </c>
      <c r="B59" s="1">
        <v>45662</v>
      </c>
      <c r="C59" t="s">
        <v>21</v>
      </c>
      <c r="D59" t="s">
        <v>17</v>
      </c>
      <c r="E59">
        <v>480</v>
      </c>
      <c r="F59">
        <v>54</v>
      </c>
      <c r="G59">
        <v>1555</v>
      </c>
      <c r="H59">
        <v>1476</v>
      </c>
      <c r="I59">
        <v>79</v>
      </c>
      <c r="J59">
        <v>12.6</v>
      </c>
      <c r="K59">
        <v>426</v>
      </c>
      <c r="L59">
        <v>0.88749999999999996</v>
      </c>
      <c r="M59">
        <v>0.76654929577464792</v>
      </c>
      <c r="N59">
        <v>0.9491961414790997</v>
      </c>
      <c r="O59">
        <v>0.64575000000000005</v>
      </c>
    </row>
    <row r="60" spans="1:15" x14ac:dyDescent="0.3">
      <c r="A60">
        <v>59</v>
      </c>
      <c r="B60" s="1">
        <v>45662</v>
      </c>
      <c r="C60" t="s">
        <v>21</v>
      </c>
      <c r="D60" t="s">
        <v>18</v>
      </c>
      <c r="E60">
        <v>480</v>
      </c>
      <c r="F60">
        <v>194</v>
      </c>
      <c r="G60">
        <v>1086</v>
      </c>
      <c r="H60">
        <v>1056</v>
      </c>
      <c r="I60">
        <v>30</v>
      </c>
      <c r="J60">
        <v>13.2</v>
      </c>
      <c r="K60">
        <v>286</v>
      </c>
      <c r="L60">
        <v>0.59583333333333333</v>
      </c>
      <c r="M60">
        <v>0.83538461538461528</v>
      </c>
      <c r="N60">
        <v>0.97237569060773477</v>
      </c>
      <c r="O60">
        <v>0.48399999999999987</v>
      </c>
    </row>
    <row r="61" spans="1:15" x14ac:dyDescent="0.3">
      <c r="A61">
        <v>60</v>
      </c>
      <c r="B61" s="1">
        <v>45662</v>
      </c>
      <c r="C61" t="s">
        <v>21</v>
      </c>
      <c r="D61" t="s">
        <v>19</v>
      </c>
      <c r="E61">
        <v>480</v>
      </c>
      <c r="F61">
        <v>88</v>
      </c>
      <c r="G61">
        <v>1461</v>
      </c>
      <c r="H61">
        <v>1443</v>
      </c>
      <c r="I61">
        <v>18</v>
      </c>
      <c r="J61">
        <v>13.8</v>
      </c>
      <c r="K61">
        <v>392</v>
      </c>
      <c r="L61">
        <v>0.81666666666666665</v>
      </c>
      <c r="M61">
        <v>0.85721938775510198</v>
      </c>
      <c r="N61">
        <v>0.98767967145790558</v>
      </c>
      <c r="O61">
        <v>0.69143749999999993</v>
      </c>
    </row>
    <row r="62" spans="1:15" x14ac:dyDescent="0.3">
      <c r="A62">
        <v>61</v>
      </c>
      <c r="B62" s="1">
        <v>45663</v>
      </c>
      <c r="C62" t="s">
        <v>15</v>
      </c>
      <c r="D62" t="s">
        <v>16</v>
      </c>
      <c r="E62">
        <v>480</v>
      </c>
      <c r="F62">
        <v>0</v>
      </c>
      <c r="G62">
        <v>1864</v>
      </c>
      <c r="H62">
        <v>1785</v>
      </c>
      <c r="I62">
        <v>79</v>
      </c>
      <c r="J62">
        <v>12</v>
      </c>
      <c r="K62">
        <v>480</v>
      </c>
      <c r="L62">
        <v>1</v>
      </c>
      <c r="M62">
        <v>0.77666666666666662</v>
      </c>
      <c r="N62">
        <v>0.95761802575107291</v>
      </c>
      <c r="O62">
        <v>0.74374999999999991</v>
      </c>
    </row>
    <row r="63" spans="1:15" x14ac:dyDescent="0.3">
      <c r="A63">
        <v>62</v>
      </c>
      <c r="B63" s="1">
        <v>45663</v>
      </c>
      <c r="C63" t="s">
        <v>15</v>
      </c>
      <c r="D63" t="s">
        <v>17</v>
      </c>
      <c r="E63">
        <v>480</v>
      </c>
      <c r="F63">
        <v>396</v>
      </c>
      <c r="G63">
        <v>303</v>
      </c>
      <c r="H63">
        <v>287</v>
      </c>
      <c r="I63">
        <v>16</v>
      </c>
      <c r="J63">
        <v>12.6</v>
      </c>
      <c r="K63">
        <v>84</v>
      </c>
      <c r="L63">
        <v>0.17499999999999999</v>
      </c>
      <c r="M63">
        <v>0.75749999999999995</v>
      </c>
      <c r="N63">
        <v>0.94719471947194722</v>
      </c>
      <c r="O63">
        <v>0.12556249999999997</v>
      </c>
    </row>
    <row r="64" spans="1:15" x14ac:dyDescent="0.3">
      <c r="A64">
        <v>63</v>
      </c>
      <c r="B64" s="1">
        <v>45663</v>
      </c>
      <c r="C64" t="s">
        <v>15</v>
      </c>
      <c r="D64" t="s">
        <v>18</v>
      </c>
      <c r="E64">
        <v>480</v>
      </c>
      <c r="F64">
        <v>88</v>
      </c>
      <c r="G64">
        <v>1621</v>
      </c>
      <c r="H64">
        <v>1568</v>
      </c>
      <c r="I64">
        <v>53</v>
      </c>
      <c r="J64">
        <v>13.2</v>
      </c>
      <c r="K64">
        <v>392</v>
      </c>
      <c r="L64">
        <v>0.81666666666666665</v>
      </c>
      <c r="M64">
        <v>0.90974489795918356</v>
      </c>
      <c r="N64">
        <v>0.96730413325107956</v>
      </c>
      <c r="O64">
        <v>0.71866666666666656</v>
      </c>
    </row>
    <row r="65" spans="1:15" x14ac:dyDescent="0.3">
      <c r="A65">
        <v>64</v>
      </c>
      <c r="B65" s="1">
        <v>45663</v>
      </c>
      <c r="C65" t="s">
        <v>15</v>
      </c>
      <c r="D65" t="s">
        <v>19</v>
      </c>
      <c r="E65">
        <v>480</v>
      </c>
      <c r="F65">
        <v>159</v>
      </c>
      <c r="G65">
        <v>1107</v>
      </c>
      <c r="H65">
        <v>1071</v>
      </c>
      <c r="I65">
        <v>36</v>
      </c>
      <c r="J65">
        <v>13.8</v>
      </c>
      <c r="K65">
        <v>321</v>
      </c>
      <c r="L65">
        <v>0.66874999999999996</v>
      </c>
      <c r="M65">
        <v>0.79317757009345802</v>
      </c>
      <c r="N65">
        <v>0.96747967479674801</v>
      </c>
      <c r="O65">
        <v>0.51318750000000002</v>
      </c>
    </row>
    <row r="66" spans="1:15" x14ac:dyDescent="0.3">
      <c r="A66">
        <v>65</v>
      </c>
      <c r="B66" s="1">
        <v>45663</v>
      </c>
      <c r="C66" t="s">
        <v>20</v>
      </c>
      <c r="D66" t="s">
        <v>16</v>
      </c>
      <c r="E66">
        <v>480</v>
      </c>
      <c r="F66">
        <v>164</v>
      </c>
      <c r="G66">
        <v>1543</v>
      </c>
      <c r="H66">
        <v>1474</v>
      </c>
      <c r="I66">
        <v>69</v>
      </c>
      <c r="J66">
        <v>12</v>
      </c>
      <c r="K66">
        <v>316</v>
      </c>
      <c r="L66">
        <v>0.65833333333333333</v>
      </c>
      <c r="M66">
        <v>0.97658227848101264</v>
      </c>
      <c r="N66">
        <v>0.95528191834089438</v>
      </c>
      <c r="O66">
        <v>0.61416666666666675</v>
      </c>
    </row>
    <row r="67" spans="1:15" x14ac:dyDescent="0.3">
      <c r="A67">
        <v>66</v>
      </c>
      <c r="B67" s="1">
        <v>45663</v>
      </c>
      <c r="C67" t="s">
        <v>20</v>
      </c>
      <c r="D67" t="s">
        <v>17</v>
      </c>
      <c r="E67">
        <v>480</v>
      </c>
      <c r="F67">
        <v>17</v>
      </c>
      <c r="G67">
        <v>1736</v>
      </c>
      <c r="H67">
        <v>1640</v>
      </c>
      <c r="I67">
        <v>96</v>
      </c>
      <c r="J67">
        <v>12.6</v>
      </c>
      <c r="K67">
        <v>463</v>
      </c>
      <c r="L67">
        <v>0.96458333333333335</v>
      </c>
      <c r="M67">
        <v>0.78738660907127422</v>
      </c>
      <c r="N67">
        <v>0.9447004608294931</v>
      </c>
      <c r="O67">
        <v>0.71749999999999992</v>
      </c>
    </row>
    <row r="68" spans="1:15" x14ac:dyDescent="0.3">
      <c r="A68">
        <v>67</v>
      </c>
      <c r="B68" s="1">
        <v>45663</v>
      </c>
      <c r="C68" t="s">
        <v>20</v>
      </c>
      <c r="D68" t="s">
        <v>18</v>
      </c>
      <c r="E68">
        <v>480</v>
      </c>
      <c r="F68">
        <v>167</v>
      </c>
      <c r="G68">
        <v>1261</v>
      </c>
      <c r="H68">
        <v>1225</v>
      </c>
      <c r="I68">
        <v>36</v>
      </c>
      <c r="J68">
        <v>13.2</v>
      </c>
      <c r="K68">
        <v>313</v>
      </c>
      <c r="L68">
        <v>0.65208333333333335</v>
      </c>
      <c r="M68">
        <v>0.88632587859424927</v>
      </c>
      <c r="N68">
        <v>0.97145122918318794</v>
      </c>
      <c r="O68">
        <v>0.56145833333333339</v>
      </c>
    </row>
    <row r="69" spans="1:15" x14ac:dyDescent="0.3">
      <c r="A69">
        <v>68</v>
      </c>
      <c r="B69" s="1">
        <v>45663</v>
      </c>
      <c r="C69" t="s">
        <v>20</v>
      </c>
      <c r="D69" t="s">
        <v>19</v>
      </c>
      <c r="E69">
        <v>480</v>
      </c>
      <c r="F69">
        <v>416</v>
      </c>
      <c r="G69">
        <v>269</v>
      </c>
      <c r="H69">
        <v>255</v>
      </c>
      <c r="I69">
        <v>14</v>
      </c>
      <c r="J69">
        <v>13.8</v>
      </c>
      <c r="K69">
        <v>64</v>
      </c>
      <c r="L69">
        <v>0.13333333333333333</v>
      </c>
      <c r="M69">
        <v>0.96671875000000007</v>
      </c>
      <c r="N69">
        <v>0.94795539033457255</v>
      </c>
      <c r="O69">
        <v>0.12218750000000002</v>
      </c>
    </row>
    <row r="70" spans="1:15" x14ac:dyDescent="0.3">
      <c r="A70">
        <v>69</v>
      </c>
      <c r="B70" s="1">
        <v>45663</v>
      </c>
      <c r="C70" t="s">
        <v>21</v>
      </c>
      <c r="D70" t="s">
        <v>16</v>
      </c>
      <c r="E70">
        <v>480</v>
      </c>
      <c r="F70">
        <v>138</v>
      </c>
      <c r="G70">
        <v>1520</v>
      </c>
      <c r="H70">
        <v>1488</v>
      </c>
      <c r="I70">
        <v>32</v>
      </c>
      <c r="J70">
        <v>12</v>
      </c>
      <c r="K70">
        <v>342</v>
      </c>
      <c r="L70">
        <v>0.71250000000000002</v>
      </c>
      <c r="M70">
        <v>0.88888888888888884</v>
      </c>
      <c r="N70">
        <v>0.97894736842105268</v>
      </c>
      <c r="O70">
        <v>0.62</v>
      </c>
    </row>
    <row r="71" spans="1:15" x14ac:dyDescent="0.3">
      <c r="A71">
        <v>70</v>
      </c>
      <c r="B71" s="1">
        <v>45663</v>
      </c>
      <c r="C71" t="s">
        <v>21</v>
      </c>
      <c r="D71" t="s">
        <v>17</v>
      </c>
      <c r="E71">
        <v>480</v>
      </c>
      <c r="F71">
        <v>79</v>
      </c>
      <c r="G71">
        <v>1660</v>
      </c>
      <c r="H71">
        <v>1573</v>
      </c>
      <c r="I71">
        <v>87</v>
      </c>
      <c r="J71">
        <v>12.6</v>
      </c>
      <c r="K71">
        <v>401</v>
      </c>
      <c r="L71">
        <v>0.8354166666666667</v>
      </c>
      <c r="M71">
        <v>0.86932668329177054</v>
      </c>
      <c r="N71">
        <v>0.94759036144578312</v>
      </c>
      <c r="O71">
        <v>0.68818749999999995</v>
      </c>
    </row>
    <row r="72" spans="1:15" x14ac:dyDescent="0.3">
      <c r="A72">
        <v>71</v>
      </c>
      <c r="B72" s="1">
        <v>45663</v>
      </c>
      <c r="C72" t="s">
        <v>21</v>
      </c>
      <c r="D72" t="s">
        <v>18</v>
      </c>
      <c r="E72">
        <v>480</v>
      </c>
      <c r="F72">
        <v>26</v>
      </c>
      <c r="G72">
        <v>1612</v>
      </c>
      <c r="H72">
        <v>1595</v>
      </c>
      <c r="I72">
        <v>17</v>
      </c>
      <c r="J72">
        <v>13.2</v>
      </c>
      <c r="K72">
        <v>454</v>
      </c>
      <c r="L72">
        <v>0.9458333333333333</v>
      </c>
      <c r="M72">
        <v>0.78114537444933918</v>
      </c>
      <c r="N72">
        <v>0.98945409429280395</v>
      </c>
      <c r="O72">
        <v>0.73104166666666659</v>
      </c>
    </row>
    <row r="73" spans="1:15" x14ac:dyDescent="0.3">
      <c r="A73">
        <v>72</v>
      </c>
      <c r="B73" s="1">
        <v>45663</v>
      </c>
      <c r="C73" t="s">
        <v>21</v>
      </c>
      <c r="D73" t="s">
        <v>19</v>
      </c>
      <c r="E73">
        <v>480</v>
      </c>
      <c r="F73">
        <v>11</v>
      </c>
      <c r="G73">
        <v>1953</v>
      </c>
      <c r="H73">
        <v>1900</v>
      </c>
      <c r="I73">
        <v>53</v>
      </c>
      <c r="J73">
        <v>13.8</v>
      </c>
      <c r="K73">
        <v>469</v>
      </c>
      <c r="L73">
        <v>0.9770833333333333</v>
      </c>
      <c r="M73">
        <v>0.95776119402985083</v>
      </c>
      <c r="N73">
        <v>0.97286226318484381</v>
      </c>
      <c r="O73">
        <v>0.91041666666666665</v>
      </c>
    </row>
    <row r="74" spans="1:15" x14ac:dyDescent="0.3">
      <c r="A74">
        <v>73</v>
      </c>
      <c r="B74" s="1">
        <v>45664</v>
      </c>
      <c r="C74" t="s">
        <v>15</v>
      </c>
      <c r="D74" t="s">
        <v>16</v>
      </c>
      <c r="E74">
        <v>480</v>
      </c>
      <c r="F74">
        <v>68</v>
      </c>
      <c r="G74">
        <v>1984</v>
      </c>
      <c r="H74">
        <v>1916</v>
      </c>
      <c r="I74">
        <v>68</v>
      </c>
      <c r="J74">
        <v>12</v>
      </c>
      <c r="K74">
        <v>412</v>
      </c>
      <c r="L74">
        <v>0.85833333333333328</v>
      </c>
      <c r="M74">
        <v>0.96310679611650485</v>
      </c>
      <c r="N74">
        <v>0.96572580645161288</v>
      </c>
      <c r="O74">
        <v>0.79833333333333334</v>
      </c>
    </row>
    <row r="75" spans="1:15" x14ac:dyDescent="0.3">
      <c r="A75">
        <v>74</v>
      </c>
      <c r="B75" s="1">
        <v>45664</v>
      </c>
      <c r="C75" t="s">
        <v>15</v>
      </c>
      <c r="D75" t="s">
        <v>17</v>
      </c>
      <c r="E75">
        <v>480</v>
      </c>
      <c r="F75">
        <v>40</v>
      </c>
      <c r="G75">
        <v>1729</v>
      </c>
      <c r="H75">
        <v>1657</v>
      </c>
      <c r="I75">
        <v>72</v>
      </c>
      <c r="J75">
        <v>12.6</v>
      </c>
      <c r="K75">
        <v>440</v>
      </c>
      <c r="L75">
        <v>0.91666666666666663</v>
      </c>
      <c r="M75">
        <v>0.82520454545454536</v>
      </c>
      <c r="N75">
        <v>0.95835743204164259</v>
      </c>
      <c r="O75">
        <v>0.7249374999999999</v>
      </c>
    </row>
    <row r="76" spans="1:15" x14ac:dyDescent="0.3">
      <c r="A76">
        <v>75</v>
      </c>
      <c r="B76" s="1">
        <v>45664</v>
      </c>
      <c r="C76" t="s">
        <v>15</v>
      </c>
      <c r="D76" t="s">
        <v>18</v>
      </c>
      <c r="E76">
        <v>480</v>
      </c>
      <c r="F76">
        <v>6</v>
      </c>
      <c r="G76">
        <v>1691</v>
      </c>
      <c r="H76">
        <v>1663</v>
      </c>
      <c r="I76">
        <v>28</v>
      </c>
      <c r="J76">
        <v>13.2</v>
      </c>
      <c r="K76">
        <v>474</v>
      </c>
      <c r="L76">
        <v>0.98750000000000004</v>
      </c>
      <c r="M76">
        <v>0.78485232067510535</v>
      </c>
      <c r="N76">
        <v>0.98344175044352455</v>
      </c>
      <c r="O76">
        <v>0.76220833333333315</v>
      </c>
    </row>
    <row r="77" spans="1:15" x14ac:dyDescent="0.3">
      <c r="A77">
        <v>76</v>
      </c>
      <c r="B77" s="1">
        <v>45664</v>
      </c>
      <c r="C77" t="s">
        <v>15</v>
      </c>
      <c r="D77" t="s">
        <v>19</v>
      </c>
      <c r="E77">
        <v>480</v>
      </c>
      <c r="F77">
        <v>102</v>
      </c>
      <c r="G77">
        <v>1411</v>
      </c>
      <c r="H77">
        <v>1350</v>
      </c>
      <c r="I77">
        <v>61</v>
      </c>
      <c r="J77">
        <v>13.8</v>
      </c>
      <c r="K77">
        <v>378</v>
      </c>
      <c r="L77">
        <v>0.78749999999999998</v>
      </c>
      <c r="M77">
        <v>0.8585449735449735</v>
      </c>
      <c r="N77">
        <v>0.95676824946846206</v>
      </c>
      <c r="O77">
        <v>0.64687499999999998</v>
      </c>
    </row>
    <row r="78" spans="1:15" x14ac:dyDescent="0.3">
      <c r="A78">
        <v>77</v>
      </c>
      <c r="B78" s="1">
        <v>45664</v>
      </c>
      <c r="C78" t="s">
        <v>20</v>
      </c>
      <c r="D78" t="s">
        <v>16</v>
      </c>
      <c r="E78">
        <v>480</v>
      </c>
      <c r="F78">
        <v>0</v>
      </c>
      <c r="G78">
        <v>1906</v>
      </c>
      <c r="H78">
        <v>1884</v>
      </c>
      <c r="I78">
        <v>22</v>
      </c>
      <c r="J78">
        <v>12</v>
      </c>
      <c r="K78">
        <v>480</v>
      </c>
      <c r="L78">
        <v>1</v>
      </c>
      <c r="M78">
        <v>0.79416666666666669</v>
      </c>
      <c r="N78">
        <v>0.9884575026232949</v>
      </c>
      <c r="O78">
        <v>0.78500000000000003</v>
      </c>
    </row>
    <row r="79" spans="1:15" x14ac:dyDescent="0.3">
      <c r="A79">
        <v>78</v>
      </c>
      <c r="B79" s="1">
        <v>45664</v>
      </c>
      <c r="C79" t="s">
        <v>20</v>
      </c>
      <c r="D79" t="s">
        <v>17</v>
      </c>
      <c r="E79">
        <v>480</v>
      </c>
      <c r="F79">
        <v>0</v>
      </c>
      <c r="G79">
        <v>1860</v>
      </c>
      <c r="H79">
        <v>1825</v>
      </c>
      <c r="I79">
        <v>35</v>
      </c>
      <c r="J79">
        <v>12.6</v>
      </c>
      <c r="K79">
        <v>480</v>
      </c>
      <c r="L79">
        <v>1</v>
      </c>
      <c r="M79">
        <v>0.81374999999999997</v>
      </c>
      <c r="N79">
        <v>0.98118279569892475</v>
      </c>
      <c r="O79">
        <v>0.79843750000000002</v>
      </c>
    </row>
    <row r="80" spans="1:15" x14ac:dyDescent="0.3">
      <c r="A80">
        <v>79</v>
      </c>
      <c r="B80" s="1">
        <v>45664</v>
      </c>
      <c r="C80" t="s">
        <v>20</v>
      </c>
      <c r="D80" t="s">
        <v>18</v>
      </c>
      <c r="E80">
        <v>480</v>
      </c>
      <c r="F80">
        <v>0</v>
      </c>
      <c r="G80">
        <v>1696</v>
      </c>
      <c r="H80">
        <v>1640</v>
      </c>
      <c r="I80">
        <v>56</v>
      </c>
      <c r="J80">
        <v>13.2</v>
      </c>
      <c r="K80">
        <v>480</v>
      </c>
      <c r="L80">
        <v>1</v>
      </c>
      <c r="M80">
        <v>0.77733333333333321</v>
      </c>
      <c r="N80">
        <v>0.96698113207547165</v>
      </c>
      <c r="O80">
        <v>0.75166666666666648</v>
      </c>
    </row>
    <row r="81" spans="1:15" x14ac:dyDescent="0.3">
      <c r="A81">
        <v>80</v>
      </c>
      <c r="B81" s="1">
        <v>45664</v>
      </c>
      <c r="C81" t="s">
        <v>20</v>
      </c>
      <c r="D81" t="s">
        <v>19</v>
      </c>
      <c r="E81">
        <v>480</v>
      </c>
      <c r="F81">
        <v>0</v>
      </c>
      <c r="G81">
        <v>1740</v>
      </c>
      <c r="H81">
        <v>1679</v>
      </c>
      <c r="I81">
        <v>61</v>
      </c>
      <c r="J81">
        <v>13.8</v>
      </c>
      <c r="K81">
        <v>480</v>
      </c>
      <c r="L81">
        <v>1</v>
      </c>
      <c r="M81">
        <v>0.83374999999999999</v>
      </c>
      <c r="N81">
        <v>0.96494252873563213</v>
      </c>
      <c r="O81">
        <v>0.80452083333333324</v>
      </c>
    </row>
    <row r="82" spans="1:15" x14ac:dyDescent="0.3">
      <c r="A82">
        <v>81</v>
      </c>
      <c r="B82" s="1">
        <v>45664</v>
      </c>
      <c r="C82" t="s">
        <v>21</v>
      </c>
      <c r="D82" t="s">
        <v>16</v>
      </c>
      <c r="E82">
        <v>480</v>
      </c>
      <c r="F82">
        <v>14</v>
      </c>
      <c r="G82">
        <v>1791</v>
      </c>
      <c r="H82">
        <v>1695</v>
      </c>
      <c r="I82">
        <v>96</v>
      </c>
      <c r="J82">
        <v>12</v>
      </c>
      <c r="K82">
        <v>466</v>
      </c>
      <c r="L82">
        <v>0.97083333333333333</v>
      </c>
      <c r="M82">
        <v>0.76866952789699572</v>
      </c>
      <c r="N82">
        <v>0.94639865996649919</v>
      </c>
      <c r="O82">
        <v>0.70625000000000004</v>
      </c>
    </row>
    <row r="83" spans="1:15" x14ac:dyDescent="0.3">
      <c r="A83">
        <v>82</v>
      </c>
      <c r="B83" s="1">
        <v>45664</v>
      </c>
      <c r="C83" t="s">
        <v>21</v>
      </c>
      <c r="D83" t="s">
        <v>17</v>
      </c>
      <c r="E83">
        <v>480</v>
      </c>
      <c r="F83">
        <v>73</v>
      </c>
      <c r="G83">
        <v>1787</v>
      </c>
      <c r="H83">
        <v>1753</v>
      </c>
      <c r="I83">
        <v>34</v>
      </c>
      <c r="J83">
        <v>12.6</v>
      </c>
      <c r="K83">
        <v>407</v>
      </c>
      <c r="L83">
        <v>0.84791666666666665</v>
      </c>
      <c r="M83">
        <v>0.92203931203931211</v>
      </c>
      <c r="N83">
        <v>0.98097369893676556</v>
      </c>
      <c r="O83">
        <v>0.76693750000000005</v>
      </c>
    </row>
    <row r="84" spans="1:15" x14ac:dyDescent="0.3">
      <c r="A84">
        <v>83</v>
      </c>
      <c r="B84" s="1">
        <v>45664</v>
      </c>
      <c r="C84" t="s">
        <v>21</v>
      </c>
      <c r="D84" t="s">
        <v>18</v>
      </c>
      <c r="E84">
        <v>480</v>
      </c>
      <c r="F84">
        <v>0</v>
      </c>
      <c r="G84">
        <v>1822</v>
      </c>
      <c r="H84">
        <v>1760</v>
      </c>
      <c r="I84">
        <v>62</v>
      </c>
      <c r="J84">
        <v>13.2</v>
      </c>
      <c r="K84">
        <v>480</v>
      </c>
      <c r="L84">
        <v>1</v>
      </c>
      <c r="M84">
        <v>0.83508333333333329</v>
      </c>
      <c r="N84">
        <v>0.96597145993413835</v>
      </c>
      <c r="O84">
        <v>0.80666666666666664</v>
      </c>
    </row>
    <row r="85" spans="1:15" x14ac:dyDescent="0.3">
      <c r="A85">
        <v>84</v>
      </c>
      <c r="B85" s="1">
        <v>45664</v>
      </c>
      <c r="C85" t="s">
        <v>21</v>
      </c>
      <c r="D85" t="s">
        <v>19</v>
      </c>
      <c r="E85">
        <v>480</v>
      </c>
      <c r="F85">
        <v>61</v>
      </c>
      <c r="G85">
        <v>1741</v>
      </c>
      <c r="H85">
        <v>1680</v>
      </c>
      <c r="I85">
        <v>61</v>
      </c>
      <c r="J85">
        <v>13.8</v>
      </c>
      <c r="K85">
        <v>419</v>
      </c>
      <c r="L85">
        <v>0.87291666666666667</v>
      </c>
      <c r="M85">
        <v>0.95568019093078771</v>
      </c>
      <c r="N85">
        <v>0.96496266513497986</v>
      </c>
      <c r="O85">
        <v>0.80500000000000005</v>
      </c>
    </row>
    <row r="86" spans="1:15" x14ac:dyDescent="0.3">
      <c r="A86">
        <v>85</v>
      </c>
      <c r="B86" s="1">
        <v>45665</v>
      </c>
      <c r="C86" t="s">
        <v>15</v>
      </c>
      <c r="D86" t="s">
        <v>16</v>
      </c>
      <c r="E86">
        <v>480</v>
      </c>
      <c r="F86">
        <v>15</v>
      </c>
      <c r="G86">
        <v>1873</v>
      </c>
      <c r="H86">
        <v>1830</v>
      </c>
      <c r="I86">
        <v>43</v>
      </c>
      <c r="J86">
        <v>12</v>
      </c>
      <c r="K86">
        <v>465</v>
      </c>
      <c r="L86">
        <v>0.96875</v>
      </c>
      <c r="M86">
        <v>0.80559139784946232</v>
      </c>
      <c r="N86">
        <v>0.97704217832354512</v>
      </c>
      <c r="O86">
        <v>0.76249999999999996</v>
      </c>
    </row>
    <row r="87" spans="1:15" x14ac:dyDescent="0.3">
      <c r="A87">
        <v>86</v>
      </c>
      <c r="B87" s="1">
        <v>45665</v>
      </c>
      <c r="C87" t="s">
        <v>15</v>
      </c>
      <c r="D87" t="s">
        <v>17</v>
      </c>
      <c r="E87">
        <v>480</v>
      </c>
      <c r="F87">
        <v>10</v>
      </c>
      <c r="G87">
        <v>1847</v>
      </c>
      <c r="H87">
        <v>1818</v>
      </c>
      <c r="I87">
        <v>29</v>
      </c>
      <c r="J87">
        <v>12.6</v>
      </c>
      <c r="K87">
        <v>470</v>
      </c>
      <c r="L87">
        <v>0.97916666666666663</v>
      </c>
      <c r="M87">
        <v>0.82525531914893624</v>
      </c>
      <c r="N87">
        <v>0.98429886302111536</v>
      </c>
      <c r="O87">
        <v>0.79537500000000005</v>
      </c>
    </row>
    <row r="88" spans="1:15" x14ac:dyDescent="0.3">
      <c r="A88">
        <v>87</v>
      </c>
      <c r="B88" s="1">
        <v>45665</v>
      </c>
      <c r="C88" t="s">
        <v>15</v>
      </c>
      <c r="D88" t="s">
        <v>18</v>
      </c>
      <c r="E88">
        <v>480</v>
      </c>
      <c r="F88">
        <v>86</v>
      </c>
      <c r="G88">
        <v>1609</v>
      </c>
      <c r="H88">
        <v>1547</v>
      </c>
      <c r="I88">
        <v>62</v>
      </c>
      <c r="J88">
        <v>13.2</v>
      </c>
      <c r="K88">
        <v>394</v>
      </c>
      <c r="L88">
        <v>0.8208333333333333</v>
      </c>
      <c r="M88">
        <v>0.89842639593908624</v>
      </c>
      <c r="N88">
        <v>0.96146674953387201</v>
      </c>
      <c r="O88">
        <v>0.70904166666666657</v>
      </c>
    </row>
    <row r="89" spans="1:15" x14ac:dyDescent="0.3">
      <c r="A89">
        <v>88</v>
      </c>
      <c r="B89" s="1">
        <v>45665</v>
      </c>
      <c r="C89" t="s">
        <v>15</v>
      </c>
      <c r="D89" t="s">
        <v>19</v>
      </c>
      <c r="E89">
        <v>480</v>
      </c>
      <c r="F89">
        <v>17</v>
      </c>
      <c r="G89">
        <v>1584</v>
      </c>
      <c r="H89">
        <v>1554</v>
      </c>
      <c r="I89">
        <v>30</v>
      </c>
      <c r="J89">
        <v>13.8</v>
      </c>
      <c r="K89">
        <v>463</v>
      </c>
      <c r="L89">
        <v>0.96458333333333335</v>
      </c>
      <c r="M89">
        <v>0.78686825053995679</v>
      </c>
      <c r="N89">
        <v>0.98106060606060608</v>
      </c>
      <c r="O89">
        <v>0.74462499999999998</v>
      </c>
    </row>
    <row r="90" spans="1:15" x14ac:dyDescent="0.3">
      <c r="A90">
        <v>89</v>
      </c>
      <c r="B90" s="1">
        <v>45665</v>
      </c>
      <c r="C90" t="s">
        <v>20</v>
      </c>
      <c r="D90" t="s">
        <v>16</v>
      </c>
      <c r="E90">
        <v>480</v>
      </c>
      <c r="F90">
        <v>5</v>
      </c>
      <c r="G90">
        <v>2067</v>
      </c>
      <c r="H90">
        <v>2004</v>
      </c>
      <c r="I90">
        <v>63</v>
      </c>
      <c r="J90">
        <v>12</v>
      </c>
      <c r="K90">
        <v>475</v>
      </c>
      <c r="L90">
        <v>0.98958333333333337</v>
      </c>
      <c r="M90">
        <v>0.87031578947368426</v>
      </c>
      <c r="N90">
        <v>0.96952104499274305</v>
      </c>
      <c r="O90">
        <v>0.83500000000000008</v>
      </c>
    </row>
    <row r="91" spans="1:15" x14ac:dyDescent="0.3">
      <c r="A91">
        <v>90</v>
      </c>
      <c r="B91" s="1">
        <v>45665</v>
      </c>
      <c r="C91" t="s">
        <v>20</v>
      </c>
      <c r="D91" t="s">
        <v>17</v>
      </c>
      <c r="E91">
        <v>480</v>
      </c>
      <c r="F91">
        <v>69</v>
      </c>
      <c r="G91">
        <v>1857</v>
      </c>
      <c r="H91">
        <v>1763</v>
      </c>
      <c r="I91">
        <v>94</v>
      </c>
      <c r="J91">
        <v>12.6</v>
      </c>
      <c r="K91">
        <v>411</v>
      </c>
      <c r="L91">
        <v>0.85624999999999996</v>
      </c>
      <c r="M91">
        <v>0.94883211678832124</v>
      </c>
      <c r="N91">
        <v>0.9493807215939688</v>
      </c>
      <c r="O91">
        <v>0.77131250000000007</v>
      </c>
    </row>
    <row r="92" spans="1:15" x14ac:dyDescent="0.3">
      <c r="A92">
        <v>91</v>
      </c>
      <c r="B92" s="1">
        <v>45665</v>
      </c>
      <c r="C92" t="s">
        <v>20</v>
      </c>
      <c r="D92" t="s">
        <v>18</v>
      </c>
      <c r="E92">
        <v>480</v>
      </c>
      <c r="F92">
        <v>79</v>
      </c>
      <c r="G92">
        <v>1600</v>
      </c>
      <c r="H92">
        <v>1539</v>
      </c>
      <c r="I92">
        <v>61</v>
      </c>
      <c r="J92">
        <v>13.2</v>
      </c>
      <c r="K92">
        <v>401</v>
      </c>
      <c r="L92">
        <v>0.8354166666666667</v>
      </c>
      <c r="M92">
        <v>0.87780548628428923</v>
      </c>
      <c r="N92">
        <v>0.96187500000000004</v>
      </c>
      <c r="O92">
        <v>0.70537499999999997</v>
      </c>
    </row>
    <row r="93" spans="1:15" x14ac:dyDescent="0.3">
      <c r="A93">
        <v>92</v>
      </c>
      <c r="B93" s="1">
        <v>45665</v>
      </c>
      <c r="C93" t="s">
        <v>20</v>
      </c>
      <c r="D93" t="s">
        <v>19</v>
      </c>
      <c r="E93">
        <v>480</v>
      </c>
      <c r="F93">
        <v>17</v>
      </c>
      <c r="G93">
        <v>1706</v>
      </c>
      <c r="H93">
        <v>1646</v>
      </c>
      <c r="I93">
        <v>60</v>
      </c>
      <c r="J93">
        <v>13.8</v>
      </c>
      <c r="K93">
        <v>463</v>
      </c>
      <c r="L93">
        <v>0.96458333333333335</v>
      </c>
      <c r="M93">
        <v>0.84747300215982735</v>
      </c>
      <c r="N93">
        <v>0.96483001172332938</v>
      </c>
      <c r="O93">
        <v>0.78870833333333346</v>
      </c>
    </row>
    <row r="94" spans="1:15" x14ac:dyDescent="0.3">
      <c r="A94">
        <v>93</v>
      </c>
      <c r="B94" s="1">
        <v>45665</v>
      </c>
      <c r="C94" t="s">
        <v>21</v>
      </c>
      <c r="D94" t="s">
        <v>16</v>
      </c>
      <c r="E94">
        <v>480</v>
      </c>
      <c r="F94">
        <v>10</v>
      </c>
      <c r="G94">
        <v>2076</v>
      </c>
      <c r="H94">
        <v>2040</v>
      </c>
      <c r="I94">
        <v>36</v>
      </c>
      <c r="J94">
        <v>12</v>
      </c>
      <c r="K94">
        <v>470</v>
      </c>
      <c r="L94">
        <v>0.97916666666666663</v>
      </c>
      <c r="M94">
        <v>0.8834042553191489</v>
      </c>
      <c r="N94">
        <v>0.98265895953757221</v>
      </c>
      <c r="O94">
        <v>0.84999999999999987</v>
      </c>
    </row>
    <row r="95" spans="1:15" x14ac:dyDescent="0.3">
      <c r="A95">
        <v>94</v>
      </c>
      <c r="B95" s="1">
        <v>45665</v>
      </c>
      <c r="C95" t="s">
        <v>21</v>
      </c>
      <c r="D95" t="s">
        <v>17</v>
      </c>
      <c r="E95">
        <v>480</v>
      </c>
      <c r="F95">
        <v>213</v>
      </c>
      <c r="G95">
        <v>1047</v>
      </c>
      <c r="H95">
        <v>995</v>
      </c>
      <c r="I95">
        <v>52</v>
      </c>
      <c r="J95">
        <v>12.6</v>
      </c>
      <c r="K95">
        <v>267</v>
      </c>
      <c r="L95">
        <v>0.55625000000000002</v>
      </c>
      <c r="M95">
        <v>0.82348314606741568</v>
      </c>
      <c r="N95">
        <v>0.95033428844317092</v>
      </c>
      <c r="O95">
        <v>0.43531249999999994</v>
      </c>
    </row>
    <row r="96" spans="1:15" x14ac:dyDescent="0.3">
      <c r="A96">
        <v>95</v>
      </c>
      <c r="B96" s="1">
        <v>45665</v>
      </c>
      <c r="C96" t="s">
        <v>21</v>
      </c>
      <c r="D96" t="s">
        <v>18</v>
      </c>
      <c r="E96">
        <v>480</v>
      </c>
      <c r="F96">
        <v>13</v>
      </c>
      <c r="G96">
        <v>1822</v>
      </c>
      <c r="H96">
        <v>1767</v>
      </c>
      <c r="I96">
        <v>55</v>
      </c>
      <c r="J96">
        <v>13.2</v>
      </c>
      <c r="K96">
        <v>467</v>
      </c>
      <c r="L96">
        <v>0.97291666666666665</v>
      </c>
      <c r="M96">
        <v>0.85832976445396136</v>
      </c>
      <c r="N96">
        <v>0.96981339187705817</v>
      </c>
      <c r="O96">
        <v>0.80987499999999979</v>
      </c>
    </row>
    <row r="97" spans="1:15" x14ac:dyDescent="0.3">
      <c r="A97">
        <v>96</v>
      </c>
      <c r="B97" s="1">
        <v>45665</v>
      </c>
      <c r="C97" t="s">
        <v>21</v>
      </c>
      <c r="D97" t="s">
        <v>19</v>
      </c>
      <c r="E97">
        <v>480</v>
      </c>
      <c r="F97">
        <v>118</v>
      </c>
      <c r="G97">
        <v>1468</v>
      </c>
      <c r="H97">
        <v>1439</v>
      </c>
      <c r="I97">
        <v>29</v>
      </c>
      <c r="J97">
        <v>13.8</v>
      </c>
      <c r="K97">
        <v>362</v>
      </c>
      <c r="L97">
        <v>0.75416666666666665</v>
      </c>
      <c r="M97">
        <v>0.93270718232044203</v>
      </c>
      <c r="N97">
        <v>0.98024523160762944</v>
      </c>
      <c r="O97">
        <v>0.68952083333333336</v>
      </c>
    </row>
    <row r="98" spans="1:15" x14ac:dyDescent="0.3">
      <c r="A98">
        <v>97</v>
      </c>
      <c r="B98" s="1">
        <v>45666</v>
      </c>
      <c r="C98" t="s">
        <v>15</v>
      </c>
      <c r="D98" t="s">
        <v>16</v>
      </c>
      <c r="E98">
        <v>480</v>
      </c>
      <c r="F98">
        <v>0</v>
      </c>
      <c r="G98">
        <v>1890</v>
      </c>
      <c r="H98">
        <v>1795</v>
      </c>
      <c r="I98">
        <v>95</v>
      </c>
      <c r="J98">
        <v>12</v>
      </c>
      <c r="K98">
        <v>480</v>
      </c>
      <c r="L98">
        <v>1</v>
      </c>
      <c r="M98">
        <v>0.78749999999999998</v>
      </c>
      <c r="N98">
        <v>0.94973544973544977</v>
      </c>
      <c r="O98">
        <v>0.74791666666666667</v>
      </c>
    </row>
    <row r="99" spans="1:15" x14ac:dyDescent="0.3">
      <c r="A99">
        <v>98</v>
      </c>
      <c r="B99" s="1">
        <v>45666</v>
      </c>
      <c r="C99" t="s">
        <v>15</v>
      </c>
      <c r="D99" t="s">
        <v>17</v>
      </c>
      <c r="E99">
        <v>480</v>
      </c>
      <c r="F99">
        <v>20</v>
      </c>
      <c r="G99">
        <v>1832</v>
      </c>
      <c r="H99">
        <v>1772</v>
      </c>
      <c r="I99">
        <v>60</v>
      </c>
      <c r="J99">
        <v>12.6</v>
      </c>
      <c r="K99">
        <v>460</v>
      </c>
      <c r="L99">
        <v>0.95833333333333337</v>
      </c>
      <c r="M99">
        <v>0.83634782608695657</v>
      </c>
      <c r="N99">
        <v>0.96724890829694321</v>
      </c>
      <c r="O99">
        <v>0.77525000000000011</v>
      </c>
    </row>
    <row r="100" spans="1:15" x14ac:dyDescent="0.3">
      <c r="A100">
        <v>99</v>
      </c>
      <c r="B100" s="1">
        <v>45666</v>
      </c>
      <c r="C100" t="s">
        <v>15</v>
      </c>
      <c r="D100" t="s">
        <v>18</v>
      </c>
      <c r="E100">
        <v>480</v>
      </c>
      <c r="F100">
        <v>118</v>
      </c>
      <c r="G100">
        <v>1577</v>
      </c>
      <c r="H100">
        <v>1513</v>
      </c>
      <c r="I100">
        <v>64</v>
      </c>
      <c r="J100">
        <v>13.2</v>
      </c>
      <c r="K100">
        <v>362</v>
      </c>
      <c r="L100">
        <v>0.75416666666666665</v>
      </c>
      <c r="M100">
        <v>0.9583977900552485</v>
      </c>
      <c r="N100">
        <v>0.9594166138237159</v>
      </c>
      <c r="O100">
        <v>0.69345833333333329</v>
      </c>
    </row>
    <row r="101" spans="1:15" x14ac:dyDescent="0.3">
      <c r="A101">
        <v>100</v>
      </c>
      <c r="B101" s="1">
        <v>45666</v>
      </c>
      <c r="C101" t="s">
        <v>15</v>
      </c>
      <c r="D101" t="s">
        <v>19</v>
      </c>
      <c r="E101">
        <v>480</v>
      </c>
      <c r="F101">
        <v>0</v>
      </c>
      <c r="G101">
        <v>2016</v>
      </c>
      <c r="H101">
        <v>1933</v>
      </c>
      <c r="I101">
        <v>83</v>
      </c>
      <c r="J101">
        <v>13.8</v>
      </c>
      <c r="K101">
        <v>480</v>
      </c>
      <c r="L101">
        <v>1</v>
      </c>
      <c r="M101">
        <v>0.96600000000000008</v>
      </c>
      <c r="N101">
        <v>0.95882936507936511</v>
      </c>
      <c r="O101">
        <v>0.92622916666666677</v>
      </c>
    </row>
    <row r="102" spans="1:15" x14ac:dyDescent="0.3">
      <c r="A102">
        <v>101</v>
      </c>
      <c r="B102" s="1">
        <v>45666</v>
      </c>
      <c r="C102" t="s">
        <v>20</v>
      </c>
      <c r="D102" t="s">
        <v>16</v>
      </c>
      <c r="E102">
        <v>480</v>
      </c>
      <c r="F102">
        <v>14</v>
      </c>
      <c r="G102">
        <v>2033</v>
      </c>
      <c r="H102">
        <v>1922</v>
      </c>
      <c r="I102">
        <v>111</v>
      </c>
      <c r="J102">
        <v>12</v>
      </c>
      <c r="K102">
        <v>466</v>
      </c>
      <c r="L102">
        <v>0.97083333333333333</v>
      </c>
      <c r="M102">
        <v>0.87253218884120176</v>
      </c>
      <c r="N102">
        <v>0.94540088539104772</v>
      </c>
      <c r="O102">
        <v>0.8008333333333334</v>
      </c>
    </row>
    <row r="103" spans="1:15" x14ac:dyDescent="0.3">
      <c r="A103">
        <v>102</v>
      </c>
      <c r="B103" s="1">
        <v>45666</v>
      </c>
      <c r="C103" t="s">
        <v>20</v>
      </c>
      <c r="D103" t="s">
        <v>17</v>
      </c>
      <c r="E103">
        <v>480</v>
      </c>
      <c r="F103">
        <v>12</v>
      </c>
      <c r="G103">
        <v>2052</v>
      </c>
      <c r="H103">
        <v>2029</v>
      </c>
      <c r="I103">
        <v>23</v>
      </c>
      <c r="J103">
        <v>12.6</v>
      </c>
      <c r="K103">
        <v>468</v>
      </c>
      <c r="L103">
        <v>0.97499999999999998</v>
      </c>
      <c r="M103">
        <v>0.92076923076923078</v>
      </c>
      <c r="N103">
        <v>0.98879142300194933</v>
      </c>
      <c r="O103">
        <v>0.88768750000000007</v>
      </c>
    </row>
    <row r="104" spans="1:15" x14ac:dyDescent="0.3">
      <c r="A104">
        <v>103</v>
      </c>
      <c r="B104" s="1">
        <v>45666</v>
      </c>
      <c r="C104" t="s">
        <v>20</v>
      </c>
      <c r="D104" t="s">
        <v>18</v>
      </c>
      <c r="E104">
        <v>480</v>
      </c>
      <c r="F104">
        <v>41</v>
      </c>
      <c r="G104">
        <v>1565</v>
      </c>
      <c r="H104">
        <v>1532</v>
      </c>
      <c r="I104">
        <v>33</v>
      </c>
      <c r="J104">
        <v>13.2</v>
      </c>
      <c r="K104">
        <v>439</v>
      </c>
      <c r="L104">
        <v>0.9145833333333333</v>
      </c>
      <c r="M104">
        <v>0.78428246013667424</v>
      </c>
      <c r="N104">
        <v>0.97891373801916937</v>
      </c>
      <c r="O104">
        <v>0.70216666666666672</v>
      </c>
    </row>
    <row r="105" spans="1:15" x14ac:dyDescent="0.3">
      <c r="A105">
        <v>104</v>
      </c>
      <c r="B105" s="1">
        <v>45666</v>
      </c>
      <c r="C105" t="s">
        <v>20</v>
      </c>
      <c r="D105" t="s">
        <v>19</v>
      </c>
      <c r="E105">
        <v>480</v>
      </c>
      <c r="F105">
        <v>194</v>
      </c>
      <c r="G105">
        <v>976</v>
      </c>
      <c r="H105">
        <v>938</v>
      </c>
      <c r="I105">
        <v>38</v>
      </c>
      <c r="J105">
        <v>13.8</v>
      </c>
      <c r="K105">
        <v>286</v>
      </c>
      <c r="L105">
        <v>0.59583333333333333</v>
      </c>
      <c r="M105">
        <v>0.78489510489510494</v>
      </c>
      <c r="N105">
        <v>0.96106557377049184</v>
      </c>
      <c r="O105">
        <v>0.44945833333333335</v>
      </c>
    </row>
    <row r="106" spans="1:15" x14ac:dyDescent="0.3">
      <c r="A106">
        <v>105</v>
      </c>
      <c r="B106" s="1">
        <v>45666</v>
      </c>
      <c r="C106" t="s">
        <v>21</v>
      </c>
      <c r="D106" t="s">
        <v>16</v>
      </c>
      <c r="E106">
        <v>480</v>
      </c>
      <c r="F106">
        <v>90</v>
      </c>
      <c r="G106">
        <v>1876</v>
      </c>
      <c r="H106">
        <v>1791</v>
      </c>
      <c r="I106">
        <v>85</v>
      </c>
      <c r="J106">
        <v>12</v>
      </c>
      <c r="K106">
        <v>390</v>
      </c>
      <c r="L106">
        <v>0.8125</v>
      </c>
      <c r="M106">
        <v>0.9620512820512821</v>
      </c>
      <c r="N106">
        <v>0.95469083155650325</v>
      </c>
      <c r="O106">
        <v>0.74625000000000008</v>
      </c>
    </row>
    <row r="107" spans="1:15" x14ac:dyDescent="0.3">
      <c r="A107">
        <v>106</v>
      </c>
      <c r="B107" s="1">
        <v>45666</v>
      </c>
      <c r="C107" t="s">
        <v>21</v>
      </c>
      <c r="D107" t="s">
        <v>17</v>
      </c>
      <c r="E107">
        <v>480</v>
      </c>
      <c r="F107">
        <v>0</v>
      </c>
      <c r="G107">
        <v>2017</v>
      </c>
      <c r="H107">
        <v>1936</v>
      </c>
      <c r="I107">
        <v>81</v>
      </c>
      <c r="J107">
        <v>12.6</v>
      </c>
      <c r="K107">
        <v>480</v>
      </c>
      <c r="L107">
        <v>1</v>
      </c>
      <c r="M107">
        <v>0.88243749999999999</v>
      </c>
      <c r="N107">
        <v>0.95984134853743186</v>
      </c>
      <c r="O107">
        <v>0.84699999999999998</v>
      </c>
    </row>
    <row r="108" spans="1:15" x14ac:dyDescent="0.3">
      <c r="A108">
        <v>107</v>
      </c>
      <c r="B108" s="1">
        <v>45666</v>
      </c>
      <c r="C108" t="s">
        <v>21</v>
      </c>
      <c r="D108" t="s">
        <v>18</v>
      </c>
      <c r="E108">
        <v>480</v>
      </c>
      <c r="F108">
        <v>260</v>
      </c>
      <c r="G108">
        <v>841</v>
      </c>
      <c r="H108">
        <v>831</v>
      </c>
      <c r="I108">
        <v>10</v>
      </c>
      <c r="J108">
        <v>13.2</v>
      </c>
      <c r="K108">
        <v>220</v>
      </c>
      <c r="L108">
        <v>0.45833333333333331</v>
      </c>
      <c r="M108">
        <v>0.84099999999999997</v>
      </c>
      <c r="N108">
        <v>0.98810939357907257</v>
      </c>
      <c r="O108">
        <v>0.38087499999999996</v>
      </c>
    </row>
    <row r="109" spans="1:15" x14ac:dyDescent="0.3">
      <c r="A109">
        <v>108</v>
      </c>
      <c r="B109" s="1">
        <v>45666</v>
      </c>
      <c r="C109" t="s">
        <v>21</v>
      </c>
      <c r="D109" t="s">
        <v>19</v>
      </c>
      <c r="E109">
        <v>480</v>
      </c>
      <c r="F109">
        <v>72</v>
      </c>
      <c r="G109">
        <v>1471</v>
      </c>
      <c r="H109">
        <v>1431</v>
      </c>
      <c r="I109">
        <v>40</v>
      </c>
      <c r="J109">
        <v>13.8</v>
      </c>
      <c r="K109">
        <v>408</v>
      </c>
      <c r="L109">
        <v>0.85</v>
      </c>
      <c r="M109">
        <v>0.82924019607843136</v>
      </c>
      <c r="N109">
        <v>0.97280761386811698</v>
      </c>
      <c r="O109">
        <v>0.68568750000000001</v>
      </c>
    </row>
    <row r="110" spans="1:15" x14ac:dyDescent="0.3">
      <c r="A110">
        <v>109</v>
      </c>
      <c r="B110" s="1">
        <v>45667</v>
      </c>
      <c r="C110" t="s">
        <v>15</v>
      </c>
      <c r="D110" t="s">
        <v>16</v>
      </c>
      <c r="E110">
        <v>480</v>
      </c>
      <c r="F110">
        <v>36</v>
      </c>
      <c r="G110">
        <v>1878</v>
      </c>
      <c r="H110">
        <v>1774</v>
      </c>
      <c r="I110">
        <v>104</v>
      </c>
      <c r="J110">
        <v>12</v>
      </c>
      <c r="K110">
        <v>444</v>
      </c>
      <c r="L110">
        <v>0.92500000000000004</v>
      </c>
      <c r="M110">
        <v>0.84594594594594597</v>
      </c>
      <c r="N110">
        <v>0.9446219382321619</v>
      </c>
      <c r="O110">
        <v>0.73916666666666675</v>
      </c>
    </row>
    <row r="111" spans="1:15" x14ac:dyDescent="0.3">
      <c r="A111">
        <v>110</v>
      </c>
      <c r="B111" s="1">
        <v>45667</v>
      </c>
      <c r="C111" t="s">
        <v>15</v>
      </c>
      <c r="D111" t="s">
        <v>17</v>
      </c>
      <c r="E111">
        <v>480</v>
      </c>
      <c r="F111">
        <v>5</v>
      </c>
      <c r="G111">
        <v>2041</v>
      </c>
      <c r="H111">
        <v>2003</v>
      </c>
      <c r="I111">
        <v>38</v>
      </c>
      <c r="J111">
        <v>12.6</v>
      </c>
      <c r="K111">
        <v>475</v>
      </c>
      <c r="L111">
        <v>0.98958333333333337</v>
      </c>
      <c r="M111">
        <v>0.9023368421052631</v>
      </c>
      <c r="N111">
        <v>0.98138167564919154</v>
      </c>
      <c r="O111">
        <v>0.87631249999999994</v>
      </c>
    </row>
    <row r="112" spans="1:15" x14ac:dyDescent="0.3">
      <c r="A112">
        <v>111</v>
      </c>
      <c r="B112" s="1">
        <v>45667</v>
      </c>
      <c r="C112" t="s">
        <v>15</v>
      </c>
      <c r="D112" t="s">
        <v>18</v>
      </c>
      <c r="E112">
        <v>480</v>
      </c>
      <c r="F112">
        <v>5</v>
      </c>
      <c r="G112">
        <v>2114</v>
      </c>
      <c r="H112">
        <v>2040</v>
      </c>
      <c r="I112">
        <v>74</v>
      </c>
      <c r="J112">
        <v>13.2</v>
      </c>
      <c r="K112">
        <v>475</v>
      </c>
      <c r="L112">
        <v>0.98958333333333337</v>
      </c>
      <c r="M112">
        <v>0.97911578947368416</v>
      </c>
      <c r="N112">
        <v>0.96499526963103122</v>
      </c>
      <c r="O112">
        <v>0.93499999999999994</v>
      </c>
    </row>
    <row r="113" spans="1:15" x14ac:dyDescent="0.3">
      <c r="A113">
        <v>112</v>
      </c>
      <c r="B113" s="1">
        <v>45667</v>
      </c>
      <c r="C113" t="s">
        <v>15</v>
      </c>
      <c r="D113" t="s">
        <v>19</v>
      </c>
      <c r="E113">
        <v>480</v>
      </c>
      <c r="F113">
        <v>7</v>
      </c>
      <c r="G113">
        <v>1967</v>
      </c>
      <c r="H113">
        <v>1928</v>
      </c>
      <c r="I113">
        <v>39</v>
      </c>
      <c r="J113">
        <v>13.8</v>
      </c>
      <c r="K113">
        <v>473</v>
      </c>
      <c r="L113">
        <v>0.98541666666666672</v>
      </c>
      <c r="M113">
        <v>0.95646934460887956</v>
      </c>
      <c r="N113">
        <v>0.98017285205897309</v>
      </c>
      <c r="O113">
        <v>0.92383333333333351</v>
      </c>
    </row>
    <row r="114" spans="1:15" x14ac:dyDescent="0.3">
      <c r="A114">
        <v>113</v>
      </c>
      <c r="B114" s="1">
        <v>45667</v>
      </c>
      <c r="C114" t="s">
        <v>20</v>
      </c>
      <c r="D114" t="s">
        <v>16</v>
      </c>
      <c r="E114">
        <v>480</v>
      </c>
      <c r="F114">
        <v>0</v>
      </c>
      <c r="G114">
        <v>1820</v>
      </c>
      <c r="H114">
        <v>1759</v>
      </c>
      <c r="I114">
        <v>61</v>
      </c>
      <c r="J114">
        <v>12</v>
      </c>
      <c r="K114">
        <v>480</v>
      </c>
      <c r="L114">
        <v>1</v>
      </c>
      <c r="M114">
        <v>0.7583333333333333</v>
      </c>
      <c r="N114">
        <v>0.96648351648351649</v>
      </c>
      <c r="O114">
        <v>0.73291666666666666</v>
      </c>
    </row>
    <row r="115" spans="1:15" x14ac:dyDescent="0.3">
      <c r="A115">
        <v>114</v>
      </c>
      <c r="B115" s="1">
        <v>45667</v>
      </c>
      <c r="C115" t="s">
        <v>20</v>
      </c>
      <c r="D115" t="s">
        <v>17</v>
      </c>
      <c r="E115">
        <v>480</v>
      </c>
      <c r="F115">
        <v>9</v>
      </c>
      <c r="G115">
        <v>1952</v>
      </c>
      <c r="H115">
        <v>1890</v>
      </c>
      <c r="I115">
        <v>62</v>
      </c>
      <c r="J115">
        <v>12.6</v>
      </c>
      <c r="K115">
        <v>471</v>
      </c>
      <c r="L115">
        <v>0.98124999999999996</v>
      </c>
      <c r="M115">
        <v>0.87031847133757967</v>
      </c>
      <c r="N115">
        <v>0.96823770491803274</v>
      </c>
      <c r="O115">
        <v>0.82687499999999992</v>
      </c>
    </row>
    <row r="116" spans="1:15" x14ac:dyDescent="0.3">
      <c r="A116">
        <v>115</v>
      </c>
      <c r="B116" s="1">
        <v>45667</v>
      </c>
      <c r="C116" t="s">
        <v>20</v>
      </c>
      <c r="D116" t="s">
        <v>18</v>
      </c>
      <c r="E116">
        <v>480</v>
      </c>
      <c r="F116">
        <v>117</v>
      </c>
      <c r="G116">
        <v>1340</v>
      </c>
      <c r="H116">
        <v>1284</v>
      </c>
      <c r="I116">
        <v>56</v>
      </c>
      <c r="J116">
        <v>13.2</v>
      </c>
      <c r="K116">
        <v>363</v>
      </c>
      <c r="L116">
        <v>0.75624999999999998</v>
      </c>
      <c r="M116">
        <v>0.81212121212121213</v>
      </c>
      <c r="N116">
        <v>0.95820895522388061</v>
      </c>
      <c r="O116">
        <v>0.58850000000000002</v>
      </c>
    </row>
    <row r="117" spans="1:15" x14ac:dyDescent="0.3">
      <c r="A117">
        <v>116</v>
      </c>
      <c r="B117" s="1">
        <v>45667</v>
      </c>
      <c r="C117" t="s">
        <v>20</v>
      </c>
      <c r="D117" t="s">
        <v>19</v>
      </c>
      <c r="E117">
        <v>480</v>
      </c>
      <c r="F117">
        <v>56</v>
      </c>
      <c r="G117">
        <v>1661</v>
      </c>
      <c r="H117">
        <v>1643</v>
      </c>
      <c r="I117">
        <v>18</v>
      </c>
      <c r="J117">
        <v>13.8</v>
      </c>
      <c r="K117">
        <v>424</v>
      </c>
      <c r="L117">
        <v>0.8833333333333333</v>
      </c>
      <c r="M117">
        <v>0.90101415094339632</v>
      </c>
      <c r="N117">
        <v>0.98916315472606864</v>
      </c>
      <c r="O117">
        <v>0.78727083333333336</v>
      </c>
    </row>
    <row r="118" spans="1:15" x14ac:dyDescent="0.3">
      <c r="A118">
        <v>117</v>
      </c>
      <c r="B118" s="1">
        <v>45667</v>
      </c>
      <c r="C118" t="s">
        <v>21</v>
      </c>
      <c r="D118" t="s">
        <v>16</v>
      </c>
      <c r="E118">
        <v>480</v>
      </c>
      <c r="F118">
        <v>0</v>
      </c>
      <c r="G118">
        <v>1927</v>
      </c>
      <c r="H118">
        <v>1843</v>
      </c>
      <c r="I118">
        <v>84</v>
      </c>
      <c r="J118">
        <v>12</v>
      </c>
      <c r="K118">
        <v>480</v>
      </c>
      <c r="L118">
        <v>1</v>
      </c>
      <c r="M118">
        <v>0.80291666666666661</v>
      </c>
      <c r="N118">
        <v>0.95640892579138559</v>
      </c>
      <c r="O118">
        <v>0.76791666666666658</v>
      </c>
    </row>
    <row r="119" spans="1:15" x14ac:dyDescent="0.3">
      <c r="A119">
        <v>118</v>
      </c>
      <c r="B119" s="1">
        <v>45667</v>
      </c>
      <c r="C119" t="s">
        <v>21</v>
      </c>
      <c r="D119" t="s">
        <v>17</v>
      </c>
      <c r="E119">
        <v>480</v>
      </c>
      <c r="F119">
        <v>0</v>
      </c>
      <c r="G119">
        <v>1769</v>
      </c>
      <c r="H119">
        <v>1681</v>
      </c>
      <c r="I119">
        <v>88</v>
      </c>
      <c r="J119">
        <v>12.6</v>
      </c>
      <c r="K119">
        <v>480</v>
      </c>
      <c r="L119">
        <v>1</v>
      </c>
      <c r="M119">
        <v>0.77393749999999994</v>
      </c>
      <c r="N119">
        <v>0.95025438100621817</v>
      </c>
      <c r="O119">
        <v>0.73543749999999997</v>
      </c>
    </row>
    <row r="120" spans="1:15" x14ac:dyDescent="0.3">
      <c r="A120">
        <v>119</v>
      </c>
      <c r="B120" s="1">
        <v>45667</v>
      </c>
      <c r="C120" t="s">
        <v>21</v>
      </c>
      <c r="D120" t="s">
        <v>18</v>
      </c>
      <c r="E120">
        <v>480</v>
      </c>
      <c r="F120">
        <v>0</v>
      </c>
      <c r="G120">
        <v>1963</v>
      </c>
      <c r="H120">
        <v>1920</v>
      </c>
      <c r="I120">
        <v>43</v>
      </c>
      <c r="J120">
        <v>13.2</v>
      </c>
      <c r="K120">
        <v>480</v>
      </c>
      <c r="L120">
        <v>1</v>
      </c>
      <c r="M120">
        <v>0.89970833333333333</v>
      </c>
      <c r="N120">
        <v>0.97809475292919001</v>
      </c>
      <c r="O120">
        <v>0.88</v>
      </c>
    </row>
    <row r="121" spans="1:15" x14ac:dyDescent="0.3">
      <c r="A121">
        <v>120</v>
      </c>
      <c r="B121" s="1">
        <v>45667</v>
      </c>
      <c r="C121" t="s">
        <v>21</v>
      </c>
      <c r="D121" t="s">
        <v>19</v>
      </c>
      <c r="E121">
        <v>480</v>
      </c>
      <c r="F121">
        <v>0</v>
      </c>
      <c r="G121">
        <v>1681</v>
      </c>
      <c r="H121">
        <v>1604</v>
      </c>
      <c r="I121">
        <v>77</v>
      </c>
      <c r="J121">
        <v>13.8</v>
      </c>
      <c r="K121">
        <v>480</v>
      </c>
      <c r="L121">
        <v>1</v>
      </c>
      <c r="M121">
        <v>0.80547916666666675</v>
      </c>
      <c r="N121">
        <v>0.95419393218322424</v>
      </c>
      <c r="O121">
        <v>0.7685833333333334</v>
      </c>
    </row>
    <row r="122" spans="1:15" x14ac:dyDescent="0.3">
      <c r="A122">
        <v>121</v>
      </c>
      <c r="B122" s="1">
        <v>45668</v>
      </c>
      <c r="C122" t="s">
        <v>15</v>
      </c>
      <c r="D122" t="s">
        <v>16</v>
      </c>
      <c r="E122">
        <v>480</v>
      </c>
      <c r="F122">
        <v>30</v>
      </c>
      <c r="G122">
        <v>1701</v>
      </c>
      <c r="H122">
        <v>1669</v>
      </c>
      <c r="I122">
        <v>32</v>
      </c>
      <c r="J122">
        <v>12</v>
      </c>
      <c r="K122">
        <v>450</v>
      </c>
      <c r="L122">
        <v>0.9375</v>
      </c>
      <c r="M122">
        <v>0.75600000000000001</v>
      </c>
      <c r="N122">
        <v>0.98118753674309234</v>
      </c>
      <c r="O122">
        <v>0.69541666666666668</v>
      </c>
    </row>
    <row r="123" spans="1:15" x14ac:dyDescent="0.3">
      <c r="A123">
        <v>122</v>
      </c>
      <c r="B123" s="1">
        <v>45668</v>
      </c>
      <c r="C123" t="s">
        <v>15</v>
      </c>
      <c r="D123" t="s">
        <v>17</v>
      </c>
      <c r="E123">
        <v>480</v>
      </c>
      <c r="F123">
        <v>27</v>
      </c>
      <c r="G123">
        <v>1910</v>
      </c>
      <c r="H123">
        <v>1866</v>
      </c>
      <c r="I123">
        <v>44</v>
      </c>
      <c r="J123">
        <v>12.6</v>
      </c>
      <c r="K123">
        <v>453</v>
      </c>
      <c r="L123">
        <v>0.94374999999999998</v>
      </c>
      <c r="M123">
        <v>0.88543046357615895</v>
      </c>
      <c r="N123">
        <v>0.97696335078534036</v>
      </c>
      <c r="O123">
        <v>0.81637499999999996</v>
      </c>
    </row>
    <row r="124" spans="1:15" x14ac:dyDescent="0.3">
      <c r="A124">
        <v>123</v>
      </c>
      <c r="B124" s="1">
        <v>45668</v>
      </c>
      <c r="C124" t="s">
        <v>15</v>
      </c>
      <c r="D124" t="s">
        <v>18</v>
      </c>
      <c r="E124">
        <v>480</v>
      </c>
      <c r="F124">
        <v>92</v>
      </c>
      <c r="G124">
        <v>1379</v>
      </c>
      <c r="H124">
        <v>1306</v>
      </c>
      <c r="I124">
        <v>73</v>
      </c>
      <c r="J124">
        <v>13.2</v>
      </c>
      <c r="K124">
        <v>388</v>
      </c>
      <c r="L124">
        <v>0.80833333333333335</v>
      </c>
      <c r="M124">
        <v>0.78190721649484529</v>
      </c>
      <c r="N124">
        <v>0.94706308919506887</v>
      </c>
      <c r="O124">
        <v>0.59858333333333325</v>
      </c>
    </row>
    <row r="125" spans="1:15" x14ac:dyDescent="0.3">
      <c r="A125">
        <v>124</v>
      </c>
      <c r="B125" s="1">
        <v>45668</v>
      </c>
      <c r="C125" t="s">
        <v>15</v>
      </c>
      <c r="D125" t="s">
        <v>19</v>
      </c>
      <c r="E125">
        <v>480</v>
      </c>
      <c r="F125">
        <v>40</v>
      </c>
      <c r="G125">
        <v>1802</v>
      </c>
      <c r="H125">
        <v>1696</v>
      </c>
      <c r="I125">
        <v>106</v>
      </c>
      <c r="J125">
        <v>13.8</v>
      </c>
      <c r="K125">
        <v>440</v>
      </c>
      <c r="L125">
        <v>0.91666666666666663</v>
      </c>
      <c r="M125">
        <v>0.94195454545454549</v>
      </c>
      <c r="N125">
        <v>0.94117647058823528</v>
      </c>
      <c r="O125">
        <v>0.81266666666666665</v>
      </c>
    </row>
    <row r="126" spans="1:15" x14ac:dyDescent="0.3">
      <c r="A126">
        <v>125</v>
      </c>
      <c r="B126" s="1">
        <v>45668</v>
      </c>
      <c r="C126" t="s">
        <v>20</v>
      </c>
      <c r="D126" t="s">
        <v>16</v>
      </c>
      <c r="E126">
        <v>480</v>
      </c>
      <c r="F126">
        <v>5</v>
      </c>
      <c r="G126">
        <v>2280</v>
      </c>
      <c r="H126">
        <v>2244</v>
      </c>
      <c r="I126">
        <v>36</v>
      </c>
      <c r="J126">
        <v>12</v>
      </c>
      <c r="K126">
        <v>475</v>
      </c>
      <c r="L126">
        <v>0.98958333333333337</v>
      </c>
      <c r="M126">
        <v>0.96</v>
      </c>
      <c r="N126">
        <v>0.98421052631578942</v>
      </c>
      <c r="O126">
        <v>0.93499999999999994</v>
      </c>
    </row>
    <row r="127" spans="1:15" x14ac:dyDescent="0.3">
      <c r="A127">
        <v>126</v>
      </c>
      <c r="B127" s="1">
        <v>45668</v>
      </c>
      <c r="C127" t="s">
        <v>20</v>
      </c>
      <c r="D127" t="s">
        <v>17</v>
      </c>
      <c r="E127">
        <v>480</v>
      </c>
      <c r="F127">
        <v>21</v>
      </c>
      <c r="G127">
        <v>2056</v>
      </c>
      <c r="H127">
        <v>2015</v>
      </c>
      <c r="I127">
        <v>41</v>
      </c>
      <c r="J127">
        <v>12.6</v>
      </c>
      <c r="K127">
        <v>459</v>
      </c>
      <c r="L127">
        <v>0.95625000000000004</v>
      </c>
      <c r="M127">
        <v>0.94065359477124177</v>
      </c>
      <c r="N127">
        <v>0.98005836575875482</v>
      </c>
      <c r="O127">
        <v>0.88156249999999992</v>
      </c>
    </row>
    <row r="128" spans="1:15" x14ac:dyDescent="0.3">
      <c r="A128">
        <v>127</v>
      </c>
      <c r="B128" s="1">
        <v>45668</v>
      </c>
      <c r="C128" t="s">
        <v>20</v>
      </c>
      <c r="D128" t="s">
        <v>18</v>
      </c>
      <c r="E128">
        <v>480</v>
      </c>
      <c r="F128">
        <v>0</v>
      </c>
      <c r="G128">
        <v>1705</v>
      </c>
      <c r="H128">
        <v>1612</v>
      </c>
      <c r="I128">
        <v>93</v>
      </c>
      <c r="J128">
        <v>13.2</v>
      </c>
      <c r="K128">
        <v>480</v>
      </c>
      <c r="L128">
        <v>1</v>
      </c>
      <c r="M128">
        <v>0.78145833333333337</v>
      </c>
      <c r="N128">
        <v>0.94545454545454544</v>
      </c>
      <c r="O128">
        <v>0.73883333333333334</v>
      </c>
    </row>
    <row r="129" spans="1:15" x14ac:dyDescent="0.3">
      <c r="A129">
        <v>128</v>
      </c>
      <c r="B129" s="1">
        <v>45668</v>
      </c>
      <c r="C129" t="s">
        <v>20</v>
      </c>
      <c r="D129" t="s">
        <v>19</v>
      </c>
      <c r="E129">
        <v>480</v>
      </c>
      <c r="F129">
        <v>124</v>
      </c>
      <c r="G129">
        <v>1220</v>
      </c>
      <c r="H129">
        <v>1163</v>
      </c>
      <c r="I129">
        <v>57</v>
      </c>
      <c r="J129">
        <v>13.8</v>
      </c>
      <c r="K129">
        <v>356</v>
      </c>
      <c r="L129">
        <v>0.7416666666666667</v>
      </c>
      <c r="M129">
        <v>0.78820224719101128</v>
      </c>
      <c r="N129">
        <v>0.95327868852459019</v>
      </c>
      <c r="O129">
        <v>0.55727083333333338</v>
      </c>
    </row>
    <row r="130" spans="1:15" x14ac:dyDescent="0.3">
      <c r="A130">
        <v>129</v>
      </c>
      <c r="B130" s="1">
        <v>45668</v>
      </c>
      <c r="C130" t="s">
        <v>21</v>
      </c>
      <c r="D130" t="s">
        <v>16</v>
      </c>
      <c r="E130">
        <v>480</v>
      </c>
      <c r="F130">
        <v>0</v>
      </c>
      <c r="G130">
        <v>2132</v>
      </c>
      <c r="H130">
        <v>2085</v>
      </c>
      <c r="I130">
        <v>47</v>
      </c>
      <c r="J130">
        <v>12</v>
      </c>
      <c r="K130">
        <v>480</v>
      </c>
      <c r="L130">
        <v>1</v>
      </c>
      <c r="M130">
        <v>0.88833333333333331</v>
      </c>
      <c r="N130">
        <v>0.97795497185741087</v>
      </c>
      <c r="O130">
        <v>0.86874999999999991</v>
      </c>
    </row>
    <row r="131" spans="1:15" x14ac:dyDescent="0.3">
      <c r="A131">
        <v>130</v>
      </c>
      <c r="B131" s="1">
        <v>45668</v>
      </c>
      <c r="C131" t="s">
        <v>21</v>
      </c>
      <c r="D131" t="s">
        <v>17</v>
      </c>
      <c r="E131">
        <v>480</v>
      </c>
      <c r="F131">
        <v>25</v>
      </c>
      <c r="G131">
        <v>1773</v>
      </c>
      <c r="H131">
        <v>1706</v>
      </c>
      <c r="I131">
        <v>67</v>
      </c>
      <c r="J131">
        <v>12.6</v>
      </c>
      <c r="K131">
        <v>455</v>
      </c>
      <c r="L131">
        <v>0.94791666666666663</v>
      </c>
      <c r="M131">
        <v>0.81830769230769229</v>
      </c>
      <c r="N131">
        <v>0.96221094190637335</v>
      </c>
      <c r="O131">
        <v>0.7463749999999999</v>
      </c>
    </row>
    <row r="132" spans="1:15" x14ac:dyDescent="0.3">
      <c r="A132">
        <v>131</v>
      </c>
      <c r="B132" s="1">
        <v>45668</v>
      </c>
      <c r="C132" t="s">
        <v>21</v>
      </c>
      <c r="D132" t="s">
        <v>18</v>
      </c>
      <c r="E132">
        <v>480</v>
      </c>
      <c r="F132">
        <v>75</v>
      </c>
      <c r="G132">
        <v>1633</v>
      </c>
      <c r="H132">
        <v>1590</v>
      </c>
      <c r="I132">
        <v>43</v>
      </c>
      <c r="J132">
        <v>13.2</v>
      </c>
      <c r="K132">
        <v>405</v>
      </c>
      <c r="L132">
        <v>0.84375</v>
      </c>
      <c r="M132">
        <v>0.8870617283950617</v>
      </c>
      <c r="N132">
        <v>0.97366809552969991</v>
      </c>
      <c r="O132">
        <v>0.72875000000000001</v>
      </c>
    </row>
    <row r="133" spans="1:15" x14ac:dyDescent="0.3">
      <c r="A133">
        <v>132</v>
      </c>
      <c r="B133" s="1">
        <v>45668</v>
      </c>
      <c r="C133" t="s">
        <v>21</v>
      </c>
      <c r="D133" t="s">
        <v>19</v>
      </c>
      <c r="E133">
        <v>480</v>
      </c>
      <c r="F133">
        <v>58</v>
      </c>
      <c r="G133">
        <v>1585</v>
      </c>
      <c r="H133">
        <v>1515</v>
      </c>
      <c r="I133">
        <v>70</v>
      </c>
      <c r="J133">
        <v>13.8</v>
      </c>
      <c r="K133">
        <v>422</v>
      </c>
      <c r="L133">
        <v>0.87916666666666665</v>
      </c>
      <c r="M133">
        <v>0.86386255924170618</v>
      </c>
      <c r="N133">
        <v>0.95583596214511046</v>
      </c>
      <c r="O133">
        <v>0.72593750000000012</v>
      </c>
    </row>
    <row r="134" spans="1:15" x14ac:dyDescent="0.3">
      <c r="A134">
        <v>133</v>
      </c>
      <c r="B134" s="1">
        <v>45669</v>
      </c>
      <c r="C134" t="s">
        <v>15</v>
      </c>
      <c r="D134" t="s">
        <v>16</v>
      </c>
      <c r="E134">
        <v>480</v>
      </c>
      <c r="F134">
        <v>24</v>
      </c>
      <c r="G134">
        <v>2074</v>
      </c>
      <c r="H134">
        <v>2026</v>
      </c>
      <c r="I134">
        <v>48</v>
      </c>
      <c r="J134">
        <v>12</v>
      </c>
      <c r="K134">
        <v>456</v>
      </c>
      <c r="L134">
        <v>0.95</v>
      </c>
      <c r="M134">
        <v>0.9096491228070176</v>
      </c>
      <c r="N134">
        <v>0.97685631629701064</v>
      </c>
      <c r="O134">
        <v>0.84416666666666662</v>
      </c>
    </row>
    <row r="135" spans="1:15" x14ac:dyDescent="0.3">
      <c r="A135">
        <v>134</v>
      </c>
      <c r="B135" s="1">
        <v>45669</v>
      </c>
      <c r="C135" t="s">
        <v>15</v>
      </c>
      <c r="D135" t="s">
        <v>17</v>
      </c>
      <c r="E135">
        <v>480</v>
      </c>
      <c r="F135">
        <v>112</v>
      </c>
      <c r="G135">
        <v>1369</v>
      </c>
      <c r="H135">
        <v>1291</v>
      </c>
      <c r="I135">
        <v>78</v>
      </c>
      <c r="J135">
        <v>12.6</v>
      </c>
      <c r="K135">
        <v>368</v>
      </c>
      <c r="L135">
        <v>0.76666666666666672</v>
      </c>
      <c r="M135">
        <v>0.78122282608695637</v>
      </c>
      <c r="N135">
        <v>0.94302410518626734</v>
      </c>
      <c r="O135">
        <v>0.56481249999999994</v>
      </c>
    </row>
    <row r="136" spans="1:15" x14ac:dyDescent="0.3">
      <c r="A136">
        <v>135</v>
      </c>
      <c r="B136" s="1">
        <v>45669</v>
      </c>
      <c r="C136" t="s">
        <v>15</v>
      </c>
      <c r="D136" t="s">
        <v>18</v>
      </c>
      <c r="E136">
        <v>480</v>
      </c>
      <c r="F136">
        <v>41</v>
      </c>
      <c r="G136">
        <v>1832</v>
      </c>
      <c r="H136">
        <v>1740</v>
      </c>
      <c r="I136">
        <v>92</v>
      </c>
      <c r="J136">
        <v>13.2</v>
      </c>
      <c r="K136">
        <v>439</v>
      </c>
      <c r="L136">
        <v>0.9145833333333333</v>
      </c>
      <c r="M136">
        <v>0.91808656036446457</v>
      </c>
      <c r="N136">
        <v>0.94978165938864634</v>
      </c>
      <c r="O136">
        <v>0.79749999999999999</v>
      </c>
    </row>
    <row r="137" spans="1:15" x14ac:dyDescent="0.3">
      <c r="A137">
        <v>136</v>
      </c>
      <c r="B137" s="1">
        <v>45669</v>
      </c>
      <c r="C137" t="s">
        <v>15</v>
      </c>
      <c r="D137" t="s">
        <v>19</v>
      </c>
      <c r="E137">
        <v>480</v>
      </c>
      <c r="F137">
        <v>233</v>
      </c>
      <c r="G137">
        <v>1033</v>
      </c>
      <c r="H137">
        <v>1014</v>
      </c>
      <c r="I137">
        <v>19</v>
      </c>
      <c r="J137">
        <v>13.8</v>
      </c>
      <c r="K137">
        <v>247</v>
      </c>
      <c r="L137">
        <v>0.51458333333333328</v>
      </c>
      <c r="M137">
        <v>0.96190283400809728</v>
      </c>
      <c r="N137">
        <v>0.98160696999031949</v>
      </c>
      <c r="O137">
        <v>0.48587500000000006</v>
      </c>
    </row>
    <row r="138" spans="1:15" x14ac:dyDescent="0.3">
      <c r="A138">
        <v>137</v>
      </c>
      <c r="B138" s="1">
        <v>45669</v>
      </c>
      <c r="C138" t="s">
        <v>20</v>
      </c>
      <c r="D138" t="s">
        <v>16</v>
      </c>
      <c r="E138">
        <v>480</v>
      </c>
      <c r="F138">
        <v>98</v>
      </c>
      <c r="G138">
        <v>1847</v>
      </c>
      <c r="H138">
        <v>1785</v>
      </c>
      <c r="I138">
        <v>62</v>
      </c>
      <c r="J138">
        <v>12</v>
      </c>
      <c r="K138">
        <v>382</v>
      </c>
      <c r="L138">
        <v>0.79583333333333328</v>
      </c>
      <c r="M138">
        <v>0.96701570680628268</v>
      </c>
      <c r="N138">
        <v>0.96643205197617754</v>
      </c>
      <c r="O138">
        <v>0.74374999999999991</v>
      </c>
    </row>
    <row r="139" spans="1:15" x14ac:dyDescent="0.3">
      <c r="A139">
        <v>138</v>
      </c>
      <c r="B139" s="1">
        <v>45669</v>
      </c>
      <c r="C139" t="s">
        <v>20</v>
      </c>
      <c r="D139" t="s">
        <v>17</v>
      </c>
      <c r="E139">
        <v>480</v>
      </c>
      <c r="F139">
        <v>98</v>
      </c>
      <c r="G139">
        <v>1506</v>
      </c>
      <c r="H139">
        <v>1437</v>
      </c>
      <c r="I139">
        <v>69</v>
      </c>
      <c r="J139">
        <v>12.6</v>
      </c>
      <c r="K139">
        <v>382</v>
      </c>
      <c r="L139">
        <v>0.79583333333333328</v>
      </c>
      <c r="M139">
        <v>0.82790575916230358</v>
      </c>
      <c r="N139">
        <v>0.95418326693227096</v>
      </c>
      <c r="O139">
        <v>0.62868749999999995</v>
      </c>
    </row>
    <row r="140" spans="1:15" x14ac:dyDescent="0.3">
      <c r="A140">
        <v>139</v>
      </c>
      <c r="B140" s="1">
        <v>45669</v>
      </c>
      <c r="C140" t="s">
        <v>20</v>
      </c>
      <c r="D140" t="s">
        <v>18</v>
      </c>
      <c r="E140">
        <v>480</v>
      </c>
      <c r="F140">
        <v>0</v>
      </c>
      <c r="G140">
        <v>1794</v>
      </c>
      <c r="H140">
        <v>1728</v>
      </c>
      <c r="I140">
        <v>66</v>
      </c>
      <c r="J140">
        <v>13.2</v>
      </c>
      <c r="K140">
        <v>480</v>
      </c>
      <c r="L140">
        <v>1</v>
      </c>
      <c r="M140">
        <v>0.82224999999999993</v>
      </c>
      <c r="N140">
        <v>0.96321070234113715</v>
      </c>
      <c r="O140">
        <v>0.79199999999999993</v>
      </c>
    </row>
    <row r="141" spans="1:15" x14ac:dyDescent="0.3">
      <c r="A141">
        <v>140</v>
      </c>
      <c r="B141" s="1">
        <v>45669</v>
      </c>
      <c r="C141" t="s">
        <v>20</v>
      </c>
      <c r="D141" t="s">
        <v>19</v>
      </c>
      <c r="E141">
        <v>480</v>
      </c>
      <c r="F141">
        <v>28</v>
      </c>
      <c r="G141">
        <v>1867</v>
      </c>
      <c r="H141">
        <v>1847</v>
      </c>
      <c r="I141">
        <v>20</v>
      </c>
      <c r="J141">
        <v>13.8</v>
      </c>
      <c r="K141">
        <v>452</v>
      </c>
      <c r="L141">
        <v>0.94166666666666665</v>
      </c>
      <c r="M141">
        <v>0.95002212389380536</v>
      </c>
      <c r="N141">
        <v>0.98928762720942687</v>
      </c>
      <c r="O141">
        <v>0.88502083333333326</v>
      </c>
    </row>
    <row r="142" spans="1:15" x14ac:dyDescent="0.3">
      <c r="A142">
        <v>141</v>
      </c>
      <c r="B142" s="1">
        <v>45669</v>
      </c>
      <c r="C142" t="s">
        <v>21</v>
      </c>
      <c r="D142" t="s">
        <v>16</v>
      </c>
      <c r="E142">
        <v>480</v>
      </c>
      <c r="F142">
        <v>163</v>
      </c>
      <c r="G142">
        <v>1275</v>
      </c>
      <c r="H142">
        <v>1256</v>
      </c>
      <c r="I142">
        <v>19</v>
      </c>
      <c r="J142">
        <v>12</v>
      </c>
      <c r="K142">
        <v>317</v>
      </c>
      <c r="L142">
        <v>0.66041666666666665</v>
      </c>
      <c r="M142">
        <v>0.80441640378548895</v>
      </c>
      <c r="N142">
        <v>0.98509803921568628</v>
      </c>
      <c r="O142">
        <v>0.52333333333333332</v>
      </c>
    </row>
    <row r="143" spans="1:15" x14ac:dyDescent="0.3">
      <c r="A143">
        <v>142</v>
      </c>
      <c r="B143" s="1">
        <v>45669</v>
      </c>
      <c r="C143" t="s">
        <v>21</v>
      </c>
      <c r="D143" t="s">
        <v>17</v>
      </c>
      <c r="E143">
        <v>480</v>
      </c>
      <c r="F143">
        <v>11</v>
      </c>
      <c r="G143">
        <v>1696</v>
      </c>
      <c r="H143">
        <v>1678</v>
      </c>
      <c r="I143">
        <v>18</v>
      </c>
      <c r="J143">
        <v>12.6</v>
      </c>
      <c r="K143">
        <v>469</v>
      </c>
      <c r="L143">
        <v>0.9770833333333333</v>
      </c>
      <c r="M143">
        <v>0.75940298507462678</v>
      </c>
      <c r="N143">
        <v>0.98938679245283023</v>
      </c>
      <c r="O143">
        <v>0.73412499999999992</v>
      </c>
    </row>
    <row r="144" spans="1:15" x14ac:dyDescent="0.3">
      <c r="A144">
        <v>143</v>
      </c>
      <c r="B144" s="1">
        <v>45669</v>
      </c>
      <c r="C144" t="s">
        <v>21</v>
      </c>
      <c r="D144" t="s">
        <v>18</v>
      </c>
      <c r="E144">
        <v>480</v>
      </c>
      <c r="F144">
        <v>99</v>
      </c>
      <c r="G144">
        <v>1334</v>
      </c>
      <c r="H144">
        <v>1293</v>
      </c>
      <c r="I144">
        <v>41</v>
      </c>
      <c r="J144">
        <v>13.2</v>
      </c>
      <c r="K144">
        <v>381</v>
      </c>
      <c r="L144">
        <v>0.79374999999999996</v>
      </c>
      <c r="M144">
        <v>0.77028871391076115</v>
      </c>
      <c r="N144">
        <v>0.96926536731634183</v>
      </c>
      <c r="O144">
        <v>0.59262499999999996</v>
      </c>
    </row>
    <row r="145" spans="1:15" x14ac:dyDescent="0.3">
      <c r="A145">
        <v>144</v>
      </c>
      <c r="B145" s="1">
        <v>45669</v>
      </c>
      <c r="C145" t="s">
        <v>21</v>
      </c>
      <c r="D145" t="s">
        <v>19</v>
      </c>
      <c r="E145">
        <v>480</v>
      </c>
      <c r="F145">
        <v>106</v>
      </c>
      <c r="G145">
        <v>1302</v>
      </c>
      <c r="H145">
        <v>1277</v>
      </c>
      <c r="I145">
        <v>25</v>
      </c>
      <c r="J145">
        <v>13.8</v>
      </c>
      <c r="K145">
        <v>374</v>
      </c>
      <c r="L145">
        <v>0.77916666666666667</v>
      </c>
      <c r="M145">
        <v>0.80069518716577548</v>
      </c>
      <c r="N145">
        <v>0.98079877112135172</v>
      </c>
      <c r="O145">
        <v>0.61189583333333342</v>
      </c>
    </row>
    <row r="146" spans="1:15" x14ac:dyDescent="0.3">
      <c r="A146">
        <v>145</v>
      </c>
      <c r="B146" s="1">
        <v>45670</v>
      </c>
      <c r="C146" t="s">
        <v>15</v>
      </c>
      <c r="D146" t="s">
        <v>16</v>
      </c>
      <c r="E146">
        <v>480</v>
      </c>
      <c r="F146">
        <v>261</v>
      </c>
      <c r="G146">
        <v>865</v>
      </c>
      <c r="H146">
        <v>840</v>
      </c>
      <c r="I146">
        <v>25</v>
      </c>
      <c r="J146">
        <v>12</v>
      </c>
      <c r="K146">
        <v>219</v>
      </c>
      <c r="L146">
        <v>0.45624999999999999</v>
      </c>
      <c r="M146">
        <v>0.78995433789954339</v>
      </c>
      <c r="N146">
        <v>0.97109826589595372</v>
      </c>
      <c r="O146">
        <v>0.35</v>
      </c>
    </row>
    <row r="147" spans="1:15" x14ac:dyDescent="0.3">
      <c r="A147">
        <v>146</v>
      </c>
      <c r="B147" s="1">
        <v>45670</v>
      </c>
      <c r="C147" t="s">
        <v>15</v>
      </c>
      <c r="D147" t="s">
        <v>17</v>
      </c>
      <c r="E147">
        <v>480</v>
      </c>
      <c r="F147">
        <v>39</v>
      </c>
      <c r="G147">
        <v>1861</v>
      </c>
      <c r="H147">
        <v>1789</v>
      </c>
      <c r="I147">
        <v>72</v>
      </c>
      <c r="J147">
        <v>12.6</v>
      </c>
      <c r="K147">
        <v>441</v>
      </c>
      <c r="L147">
        <v>0.91874999999999996</v>
      </c>
      <c r="M147">
        <v>0.88619047619047608</v>
      </c>
      <c r="N147">
        <v>0.96131112305212252</v>
      </c>
      <c r="O147">
        <v>0.78268749999999987</v>
      </c>
    </row>
    <row r="148" spans="1:15" x14ac:dyDescent="0.3">
      <c r="A148">
        <v>147</v>
      </c>
      <c r="B148" s="1">
        <v>45670</v>
      </c>
      <c r="C148" t="s">
        <v>15</v>
      </c>
      <c r="D148" t="s">
        <v>18</v>
      </c>
      <c r="E148">
        <v>480</v>
      </c>
      <c r="F148">
        <v>0</v>
      </c>
      <c r="G148">
        <v>2076</v>
      </c>
      <c r="H148">
        <v>2028</v>
      </c>
      <c r="I148">
        <v>48</v>
      </c>
      <c r="J148">
        <v>13.2</v>
      </c>
      <c r="K148">
        <v>480</v>
      </c>
      <c r="L148">
        <v>1</v>
      </c>
      <c r="M148">
        <v>0.9514999999999999</v>
      </c>
      <c r="N148">
        <v>0.97687861271676302</v>
      </c>
      <c r="O148">
        <v>0.92949999999999988</v>
      </c>
    </row>
    <row r="149" spans="1:15" x14ac:dyDescent="0.3">
      <c r="A149">
        <v>148</v>
      </c>
      <c r="B149" s="1">
        <v>45670</v>
      </c>
      <c r="C149" t="s">
        <v>15</v>
      </c>
      <c r="D149" t="s">
        <v>19</v>
      </c>
      <c r="E149">
        <v>480</v>
      </c>
      <c r="F149">
        <v>0</v>
      </c>
      <c r="G149">
        <v>1991</v>
      </c>
      <c r="H149">
        <v>1876</v>
      </c>
      <c r="I149">
        <v>115</v>
      </c>
      <c r="J149">
        <v>13.8</v>
      </c>
      <c r="K149">
        <v>480</v>
      </c>
      <c r="L149">
        <v>1</v>
      </c>
      <c r="M149">
        <v>0.95402083333333343</v>
      </c>
      <c r="N149">
        <v>0.94224008036162732</v>
      </c>
      <c r="O149">
        <v>0.89891666666666681</v>
      </c>
    </row>
    <row r="150" spans="1:15" x14ac:dyDescent="0.3">
      <c r="A150">
        <v>149</v>
      </c>
      <c r="B150" s="1">
        <v>45670</v>
      </c>
      <c r="C150" t="s">
        <v>20</v>
      </c>
      <c r="D150" t="s">
        <v>16</v>
      </c>
      <c r="E150">
        <v>480</v>
      </c>
      <c r="F150">
        <v>122</v>
      </c>
      <c r="G150">
        <v>1373</v>
      </c>
      <c r="H150">
        <v>1301</v>
      </c>
      <c r="I150">
        <v>72</v>
      </c>
      <c r="J150">
        <v>12</v>
      </c>
      <c r="K150">
        <v>358</v>
      </c>
      <c r="L150">
        <v>0.74583333333333335</v>
      </c>
      <c r="M150">
        <v>0.76703910614525139</v>
      </c>
      <c r="N150">
        <v>0.94756008739985431</v>
      </c>
      <c r="O150">
        <v>0.54208333333333336</v>
      </c>
    </row>
    <row r="151" spans="1:15" x14ac:dyDescent="0.3">
      <c r="A151">
        <v>150</v>
      </c>
      <c r="B151" s="1">
        <v>45670</v>
      </c>
      <c r="C151" t="s">
        <v>20</v>
      </c>
      <c r="D151" t="s">
        <v>17</v>
      </c>
      <c r="E151">
        <v>480</v>
      </c>
      <c r="F151">
        <v>31</v>
      </c>
      <c r="G151">
        <v>1734</v>
      </c>
      <c r="H151">
        <v>1641</v>
      </c>
      <c r="I151">
        <v>93</v>
      </c>
      <c r="J151">
        <v>12.6</v>
      </c>
      <c r="K151">
        <v>449</v>
      </c>
      <c r="L151">
        <v>0.93541666666666667</v>
      </c>
      <c r="M151">
        <v>0.81100222717149217</v>
      </c>
      <c r="N151">
        <v>0.94636678200692037</v>
      </c>
      <c r="O151">
        <v>0.71793750000000001</v>
      </c>
    </row>
    <row r="152" spans="1:15" x14ac:dyDescent="0.3">
      <c r="A152">
        <v>151</v>
      </c>
      <c r="B152" s="1">
        <v>45670</v>
      </c>
      <c r="C152" t="s">
        <v>20</v>
      </c>
      <c r="D152" t="s">
        <v>18</v>
      </c>
      <c r="E152">
        <v>480</v>
      </c>
      <c r="F152">
        <v>185</v>
      </c>
      <c r="G152">
        <v>1257</v>
      </c>
      <c r="H152">
        <v>1193</v>
      </c>
      <c r="I152">
        <v>64</v>
      </c>
      <c r="J152">
        <v>13.2</v>
      </c>
      <c r="K152">
        <v>295</v>
      </c>
      <c r="L152">
        <v>0.61458333333333337</v>
      </c>
      <c r="M152">
        <v>0.93742372881355918</v>
      </c>
      <c r="N152">
        <v>0.94908512330946704</v>
      </c>
      <c r="O152">
        <v>0.54679166666666668</v>
      </c>
    </row>
    <row r="153" spans="1:15" x14ac:dyDescent="0.3">
      <c r="A153">
        <v>152</v>
      </c>
      <c r="B153" s="1">
        <v>45670</v>
      </c>
      <c r="C153" t="s">
        <v>20</v>
      </c>
      <c r="D153" t="s">
        <v>19</v>
      </c>
      <c r="E153">
        <v>480</v>
      </c>
      <c r="F153">
        <v>43</v>
      </c>
      <c r="G153">
        <v>1853</v>
      </c>
      <c r="H153">
        <v>1776</v>
      </c>
      <c r="I153">
        <v>77</v>
      </c>
      <c r="J153">
        <v>13.8</v>
      </c>
      <c r="K153">
        <v>437</v>
      </c>
      <c r="L153">
        <v>0.91041666666666665</v>
      </c>
      <c r="M153">
        <v>0.97526315789473694</v>
      </c>
      <c r="N153">
        <v>0.95844576362655154</v>
      </c>
      <c r="O153">
        <v>0.85100000000000009</v>
      </c>
    </row>
    <row r="154" spans="1:15" x14ac:dyDescent="0.3">
      <c r="A154">
        <v>153</v>
      </c>
      <c r="B154" s="1">
        <v>45670</v>
      </c>
      <c r="C154" t="s">
        <v>21</v>
      </c>
      <c r="D154" t="s">
        <v>16</v>
      </c>
      <c r="E154">
        <v>480</v>
      </c>
      <c r="F154">
        <v>30</v>
      </c>
      <c r="G154">
        <v>1742</v>
      </c>
      <c r="H154">
        <v>1659</v>
      </c>
      <c r="I154">
        <v>83</v>
      </c>
      <c r="J154">
        <v>12</v>
      </c>
      <c r="K154">
        <v>450</v>
      </c>
      <c r="L154">
        <v>0.9375</v>
      </c>
      <c r="M154">
        <v>0.77422222222222226</v>
      </c>
      <c r="N154">
        <v>0.95235361653272099</v>
      </c>
      <c r="O154">
        <v>0.69125000000000003</v>
      </c>
    </row>
    <row r="155" spans="1:15" x14ac:dyDescent="0.3">
      <c r="A155">
        <v>154</v>
      </c>
      <c r="B155" s="1">
        <v>45670</v>
      </c>
      <c r="C155" t="s">
        <v>21</v>
      </c>
      <c r="D155" t="s">
        <v>17</v>
      </c>
      <c r="E155">
        <v>480</v>
      </c>
      <c r="F155">
        <v>204</v>
      </c>
      <c r="G155">
        <v>1193</v>
      </c>
      <c r="H155">
        <v>1178</v>
      </c>
      <c r="I155">
        <v>15</v>
      </c>
      <c r="J155">
        <v>12.6</v>
      </c>
      <c r="K155">
        <v>276</v>
      </c>
      <c r="L155">
        <v>0.57499999999999996</v>
      </c>
      <c r="M155">
        <v>0.90771739130434781</v>
      </c>
      <c r="N155">
        <v>0.98742665549036046</v>
      </c>
      <c r="O155">
        <v>0.51537499999999992</v>
      </c>
    </row>
    <row r="156" spans="1:15" x14ac:dyDescent="0.3">
      <c r="A156">
        <v>155</v>
      </c>
      <c r="B156" s="1">
        <v>45670</v>
      </c>
      <c r="C156" t="s">
        <v>21</v>
      </c>
      <c r="D156" t="s">
        <v>18</v>
      </c>
      <c r="E156">
        <v>480</v>
      </c>
      <c r="F156">
        <v>39</v>
      </c>
      <c r="G156">
        <v>1662</v>
      </c>
      <c r="H156">
        <v>1594</v>
      </c>
      <c r="I156">
        <v>68</v>
      </c>
      <c r="J156">
        <v>13.2</v>
      </c>
      <c r="K156">
        <v>441</v>
      </c>
      <c r="L156">
        <v>0.91874999999999996</v>
      </c>
      <c r="M156">
        <v>0.82911564625850331</v>
      </c>
      <c r="N156">
        <v>0.95908543922984357</v>
      </c>
      <c r="O156">
        <v>0.73058333333333325</v>
      </c>
    </row>
    <row r="157" spans="1:15" x14ac:dyDescent="0.3">
      <c r="A157">
        <v>156</v>
      </c>
      <c r="B157" s="1">
        <v>45670</v>
      </c>
      <c r="C157" t="s">
        <v>21</v>
      </c>
      <c r="D157" t="s">
        <v>19</v>
      </c>
      <c r="E157">
        <v>480</v>
      </c>
      <c r="F157">
        <v>0</v>
      </c>
      <c r="G157">
        <v>1983</v>
      </c>
      <c r="H157">
        <v>1867</v>
      </c>
      <c r="I157">
        <v>116</v>
      </c>
      <c r="J157">
        <v>13.8</v>
      </c>
      <c r="K157">
        <v>480</v>
      </c>
      <c r="L157">
        <v>1</v>
      </c>
      <c r="M157">
        <v>0.95018750000000007</v>
      </c>
      <c r="N157">
        <v>0.94150277357539081</v>
      </c>
      <c r="O157">
        <v>0.89460416666666676</v>
      </c>
    </row>
    <row r="158" spans="1:15" x14ac:dyDescent="0.3">
      <c r="A158">
        <v>157</v>
      </c>
      <c r="B158" s="1">
        <v>45671</v>
      </c>
      <c r="C158" t="s">
        <v>15</v>
      </c>
      <c r="D158" t="s">
        <v>16</v>
      </c>
      <c r="E158">
        <v>480</v>
      </c>
      <c r="F158">
        <v>22</v>
      </c>
      <c r="G158">
        <v>1974</v>
      </c>
      <c r="H158">
        <v>1879</v>
      </c>
      <c r="I158">
        <v>95</v>
      </c>
      <c r="J158">
        <v>12</v>
      </c>
      <c r="K158">
        <v>458</v>
      </c>
      <c r="L158">
        <v>0.95416666666666672</v>
      </c>
      <c r="M158">
        <v>0.86200873362445418</v>
      </c>
      <c r="N158">
        <v>0.95187436676798376</v>
      </c>
      <c r="O158">
        <v>0.78291666666666671</v>
      </c>
    </row>
    <row r="159" spans="1:15" x14ac:dyDescent="0.3">
      <c r="A159">
        <v>158</v>
      </c>
      <c r="B159" s="1">
        <v>45671</v>
      </c>
      <c r="C159" t="s">
        <v>15</v>
      </c>
      <c r="D159" t="s">
        <v>17</v>
      </c>
      <c r="E159">
        <v>480</v>
      </c>
      <c r="F159">
        <v>38</v>
      </c>
      <c r="G159">
        <v>1963</v>
      </c>
      <c r="H159">
        <v>1876</v>
      </c>
      <c r="I159">
        <v>87</v>
      </c>
      <c r="J159">
        <v>12.6</v>
      </c>
      <c r="K159">
        <v>442</v>
      </c>
      <c r="L159">
        <v>0.92083333333333328</v>
      </c>
      <c r="M159">
        <v>0.93264705882352938</v>
      </c>
      <c r="N159">
        <v>0.95568008150789607</v>
      </c>
      <c r="O159">
        <v>0.82074999999999998</v>
      </c>
    </row>
    <row r="160" spans="1:15" x14ac:dyDescent="0.3">
      <c r="A160">
        <v>159</v>
      </c>
      <c r="B160" s="1">
        <v>45671</v>
      </c>
      <c r="C160" t="s">
        <v>15</v>
      </c>
      <c r="D160" t="s">
        <v>18</v>
      </c>
      <c r="E160">
        <v>480</v>
      </c>
      <c r="F160">
        <v>0</v>
      </c>
      <c r="G160">
        <v>1677</v>
      </c>
      <c r="H160">
        <v>1604</v>
      </c>
      <c r="I160">
        <v>73</v>
      </c>
      <c r="J160">
        <v>13.2</v>
      </c>
      <c r="K160">
        <v>480</v>
      </c>
      <c r="L160">
        <v>1</v>
      </c>
      <c r="M160">
        <v>0.76862499999999989</v>
      </c>
      <c r="N160">
        <v>0.95646988670244482</v>
      </c>
      <c r="O160">
        <v>0.73516666666666652</v>
      </c>
    </row>
    <row r="161" spans="1:15" x14ac:dyDescent="0.3">
      <c r="A161">
        <v>160</v>
      </c>
      <c r="B161" s="1">
        <v>45671</v>
      </c>
      <c r="C161" t="s">
        <v>15</v>
      </c>
      <c r="D161" t="s">
        <v>19</v>
      </c>
      <c r="E161">
        <v>480</v>
      </c>
      <c r="F161">
        <v>9</v>
      </c>
      <c r="G161">
        <v>1739</v>
      </c>
      <c r="H161">
        <v>1640</v>
      </c>
      <c r="I161">
        <v>99</v>
      </c>
      <c r="J161">
        <v>13.8</v>
      </c>
      <c r="K161">
        <v>471</v>
      </c>
      <c r="L161">
        <v>0.98124999999999996</v>
      </c>
      <c r="M161">
        <v>0.8491932059447983</v>
      </c>
      <c r="N161">
        <v>0.94307073030477284</v>
      </c>
      <c r="O161">
        <v>0.78583333333333327</v>
      </c>
    </row>
    <row r="162" spans="1:15" x14ac:dyDescent="0.3">
      <c r="A162">
        <v>161</v>
      </c>
      <c r="B162" s="1">
        <v>45671</v>
      </c>
      <c r="C162" t="s">
        <v>20</v>
      </c>
      <c r="D162" t="s">
        <v>16</v>
      </c>
      <c r="E162">
        <v>480</v>
      </c>
      <c r="F162">
        <v>230</v>
      </c>
      <c r="G162">
        <v>1003</v>
      </c>
      <c r="H162">
        <v>983</v>
      </c>
      <c r="I162">
        <v>20</v>
      </c>
      <c r="J162">
        <v>12</v>
      </c>
      <c r="K162">
        <v>250</v>
      </c>
      <c r="L162">
        <v>0.52083333333333337</v>
      </c>
      <c r="M162">
        <v>0.8024</v>
      </c>
      <c r="N162">
        <v>0.98005982053838481</v>
      </c>
      <c r="O162">
        <v>0.40958333333333335</v>
      </c>
    </row>
    <row r="163" spans="1:15" x14ac:dyDescent="0.3">
      <c r="A163">
        <v>162</v>
      </c>
      <c r="B163" s="1">
        <v>45671</v>
      </c>
      <c r="C163" t="s">
        <v>20</v>
      </c>
      <c r="D163" t="s">
        <v>17</v>
      </c>
      <c r="E163">
        <v>480</v>
      </c>
      <c r="F163">
        <v>0</v>
      </c>
      <c r="G163">
        <v>2056</v>
      </c>
      <c r="H163">
        <v>1998</v>
      </c>
      <c r="I163">
        <v>58</v>
      </c>
      <c r="J163">
        <v>12.6</v>
      </c>
      <c r="K163">
        <v>480</v>
      </c>
      <c r="L163">
        <v>1</v>
      </c>
      <c r="M163">
        <v>0.89949999999999997</v>
      </c>
      <c r="N163">
        <v>0.97178988326848248</v>
      </c>
      <c r="O163">
        <v>0.87412499999999993</v>
      </c>
    </row>
    <row r="164" spans="1:15" x14ac:dyDescent="0.3">
      <c r="A164">
        <v>163</v>
      </c>
      <c r="B164" s="1">
        <v>45671</v>
      </c>
      <c r="C164" t="s">
        <v>20</v>
      </c>
      <c r="D164" t="s">
        <v>18</v>
      </c>
      <c r="E164">
        <v>480</v>
      </c>
      <c r="F164">
        <v>78</v>
      </c>
      <c r="G164">
        <v>1425</v>
      </c>
      <c r="H164">
        <v>1409</v>
      </c>
      <c r="I164">
        <v>16</v>
      </c>
      <c r="J164">
        <v>13.2</v>
      </c>
      <c r="K164">
        <v>402</v>
      </c>
      <c r="L164">
        <v>0.83750000000000002</v>
      </c>
      <c r="M164">
        <v>0.77985074626865669</v>
      </c>
      <c r="N164">
        <v>0.98877192982456141</v>
      </c>
      <c r="O164">
        <v>0.64579166666666665</v>
      </c>
    </row>
    <row r="165" spans="1:15" x14ac:dyDescent="0.3">
      <c r="A165">
        <v>164</v>
      </c>
      <c r="B165" s="1">
        <v>45671</v>
      </c>
      <c r="C165" t="s">
        <v>20</v>
      </c>
      <c r="D165" t="s">
        <v>19</v>
      </c>
      <c r="E165">
        <v>480</v>
      </c>
      <c r="F165">
        <v>52</v>
      </c>
      <c r="G165">
        <v>1423</v>
      </c>
      <c r="H165">
        <v>1368</v>
      </c>
      <c r="I165">
        <v>55</v>
      </c>
      <c r="J165">
        <v>13.8</v>
      </c>
      <c r="K165">
        <v>428</v>
      </c>
      <c r="L165">
        <v>0.89166666666666672</v>
      </c>
      <c r="M165">
        <v>0.76469626168224303</v>
      </c>
      <c r="N165">
        <v>0.96134926212227689</v>
      </c>
      <c r="O165">
        <v>0.65550000000000008</v>
      </c>
    </row>
    <row r="166" spans="1:15" x14ac:dyDescent="0.3">
      <c r="A166">
        <v>165</v>
      </c>
      <c r="B166" s="1">
        <v>45671</v>
      </c>
      <c r="C166" t="s">
        <v>21</v>
      </c>
      <c r="D166" t="s">
        <v>16</v>
      </c>
      <c r="E166">
        <v>480</v>
      </c>
      <c r="F166">
        <v>27</v>
      </c>
      <c r="G166">
        <v>1704</v>
      </c>
      <c r="H166">
        <v>1681</v>
      </c>
      <c r="I166">
        <v>23</v>
      </c>
      <c r="J166">
        <v>12</v>
      </c>
      <c r="K166">
        <v>453</v>
      </c>
      <c r="L166">
        <v>0.94374999999999998</v>
      </c>
      <c r="M166">
        <v>0.75231788079470197</v>
      </c>
      <c r="N166">
        <v>0.98650234741784038</v>
      </c>
      <c r="O166">
        <v>0.70041666666666658</v>
      </c>
    </row>
    <row r="167" spans="1:15" x14ac:dyDescent="0.3">
      <c r="A167">
        <v>166</v>
      </c>
      <c r="B167" s="1">
        <v>45671</v>
      </c>
      <c r="C167" t="s">
        <v>21</v>
      </c>
      <c r="D167" t="s">
        <v>17</v>
      </c>
      <c r="E167">
        <v>480</v>
      </c>
      <c r="F167">
        <v>10</v>
      </c>
      <c r="G167">
        <v>2036</v>
      </c>
      <c r="H167">
        <v>1929</v>
      </c>
      <c r="I167">
        <v>107</v>
      </c>
      <c r="J167">
        <v>12.6</v>
      </c>
      <c r="K167">
        <v>470</v>
      </c>
      <c r="L167">
        <v>0.97916666666666663</v>
      </c>
      <c r="M167">
        <v>0.90970212765957437</v>
      </c>
      <c r="N167">
        <v>0.94744597249508844</v>
      </c>
      <c r="O167">
        <v>0.8439374999999999</v>
      </c>
    </row>
    <row r="168" spans="1:15" x14ac:dyDescent="0.3">
      <c r="A168">
        <v>167</v>
      </c>
      <c r="B168" s="1">
        <v>45671</v>
      </c>
      <c r="C168" t="s">
        <v>21</v>
      </c>
      <c r="D168" t="s">
        <v>18</v>
      </c>
      <c r="E168">
        <v>480</v>
      </c>
      <c r="F168">
        <v>5</v>
      </c>
      <c r="G168">
        <v>1739</v>
      </c>
      <c r="H168">
        <v>1636</v>
      </c>
      <c r="I168">
        <v>103</v>
      </c>
      <c r="J168">
        <v>13.2</v>
      </c>
      <c r="K168">
        <v>475</v>
      </c>
      <c r="L168">
        <v>0.98958333333333337</v>
      </c>
      <c r="M168">
        <v>0.80543157894736839</v>
      </c>
      <c r="N168">
        <v>0.94077055779183438</v>
      </c>
      <c r="O168">
        <v>0.74983333333333335</v>
      </c>
    </row>
    <row r="169" spans="1:15" x14ac:dyDescent="0.3">
      <c r="A169">
        <v>168</v>
      </c>
      <c r="B169" s="1">
        <v>45671</v>
      </c>
      <c r="C169" t="s">
        <v>21</v>
      </c>
      <c r="D169" t="s">
        <v>19</v>
      </c>
      <c r="E169">
        <v>480</v>
      </c>
      <c r="F169">
        <v>0</v>
      </c>
      <c r="G169">
        <v>1804</v>
      </c>
      <c r="H169">
        <v>1731</v>
      </c>
      <c r="I169">
        <v>73</v>
      </c>
      <c r="J169">
        <v>13.8</v>
      </c>
      <c r="K169">
        <v>480</v>
      </c>
      <c r="L169">
        <v>1</v>
      </c>
      <c r="M169">
        <v>0.86441666666666672</v>
      </c>
      <c r="N169">
        <v>0.95953436807095349</v>
      </c>
      <c r="O169">
        <v>0.82943750000000005</v>
      </c>
    </row>
    <row r="170" spans="1:15" x14ac:dyDescent="0.3">
      <c r="A170">
        <v>169</v>
      </c>
      <c r="B170" s="1">
        <v>45672</v>
      </c>
      <c r="C170" t="s">
        <v>15</v>
      </c>
      <c r="D170" t="s">
        <v>16</v>
      </c>
      <c r="E170">
        <v>480</v>
      </c>
      <c r="F170">
        <v>51</v>
      </c>
      <c r="G170">
        <v>1625</v>
      </c>
      <c r="H170">
        <v>1603</v>
      </c>
      <c r="I170">
        <v>22</v>
      </c>
      <c r="J170">
        <v>12</v>
      </c>
      <c r="K170">
        <v>429</v>
      </c>
      <c r="L170">
        <v>0.89375000000000004</v>
      </c>
      <c r="M170">
        <v>0.75757575757575757</v>
      </c>
      <c r="N170">
        <v>0.9864615384615385</v>
      </c>
      <c r="O170">
        <v>0.66791666666666671</v>
      </c>
    </row>
    <row r="171" spans="1:15" x14ac:dyDescent="0.3">
      <c r="A171">
        <v>170</v>
      </c>
      <c r="B171" s="1">
        <v>45672</v>
      </c>
      <c r="C171" t="s">
        <v>15</v>
      </c>
      <c r="D171" t="s">
        <v>17</v>
      </c>
      <c r="E171">
        <v>480</v>
      </c>
      <c r="F171">
        <v>23</v>
      </c>
      <c r="G171">
        <v>2032</v>
      </c>
      <c r="H171">
        <v>1992</v>
      </c>
      <c r="I171">
        <v>40</v>
      </c>
      <c r="J171">
        <v>12.6</v>
      </c>
      <c r="K171">
        <v>457</v>
      </c>
      <c r="L171">
        <v>0.95208333333333328</v>
      </c>
      <c r="M171">
        <v>0.93374179431072213</v>
      </c>
      <c r="N171">
        <v>0.98031496062992129</v>
      </c>
      <c r="O171">
        <v>0.87150000000000005</v>
      </c>
    </row>
    <row r="172" spans="1:15" x14ac:dyDescent="0.3">
      <c r="A172">
        <v>171</v>
      </c>
      <c r="B172" s="1">
        <v>45672</v>
      </c>
      <c r="C172" t="s">
        <v>15</v>
      </c>
      <c r="D172" t="s">
        <v>18</v>
      </c>
      <c r="E172">
        <v>480</v>
      </c>
      <c r="F172">
        <v>0</v>
      </c>
      <c r="G172">
        <v>1688</v>
      </c>
      <c r="H172">
        <v>1618</v>
      </c>
      <c r="I172">
        <v>70</v>
      </c>
      <c r="J172">
        <v>13.2</v>
      </c>
      <c r="K172">
        <v>480</v>
      </c>
      <c r="L172">
        <v>1</v>
      </c>
      <c r="M172">
        <v>0.77366666666666661</v>
      </c>
      <c r="N172">
        <v>0.95853080568720384</v>
      </c>
      <c r="O172">
        <v>0.74158333333333326</v>
      </c>
    </row>
    <row r="173" spans="1:15" x14ac:dyDescent="0.3">
      <c r="A173">
        <v>172</v>
      </c>
      <c r="B173" s="1">
        <v>45672</v>
      </c>
      <c r="C173" t="s">
        <v>15</v>
      </c>
      <c r="D173" t="s">
        <v>19</v>
      </c>
      <c r="E173">
        <v>480</v>
      </c>
      <c r="F173">
        <v>5</v>
      </c>
      <c r="G173">
        <v>1806</v>
      </c>
      <c r="H173">
        <v>1724</v>
      </c>
      <c r="I173">
        <v>82</v>
      </c>
      <c r="J173">
        <v>13.8</v>
      </c>
      <c r="K173">
        <v>475</v>
      </c>
      <c r="L173">
        <v>0.98958333333333337</v>
      </c>
      <c r="M173">
        <v>0.87448421052631586</v>
      </c>
      <c r="N173">
        <v>0.95459579180509413</v>
      </c>
      <c r="O173">
        <v>0.82608333333333339</v>
      </c>
    </row>
    <row r="174" spans="1:15" x14ac:dyDescent="0.3">
      <c r="A174">
        <v>173</v>
      </c>
      <c r="B174" s="1">
        <v>45672</v>
      </c>
      <c r="C174" t="s">
        <v>20</v>
      </c>
      <c r="D174" t="s">
        <v>16</v>
      </c>
      <c r="E174">
        <v>480</v>
      </c>
      <c r="F174">
        <v>33</v>
      </c>
      <c r="G174">
        <v>2007</v>
      </c>
      <c r="H174">
        <v>1935</v>
      </c>
      <c r="I174">
        <v>72</v>
      </c>
      <c r="J174">
        <v>12</v>
      </c>
      <c r="K174">
        <v>447</v>
      </c>
      <c r="L174">
        <v>0.93125000000000002</v>
      </c>
      <c r="M174">
        <v>0.897986577181208</v>
      </c>
      <c r="N174">
        <v>0.9641255605381166</v>
      </c>
      <c r="O174">
        <v>0.80624999999999991</v>
      </c>
    </row>
    <row r="175" spans="1:15" x14ac:dyDescent="0.3">
      <c r="A175">
        <v>174</v>
      </c>
      <c r="B175" s="1">
        <v>45672</v>
      </c>
      <c r="C175" t="s">
        <v>20</v>
      </c>
      <c r="D175" t="s">
        <v>17</v>
      </c>
      <c r="E175">
        <v>480</v>
      </c>
      <c r="F175">
        <v>12</v>
      </c>
      <c r="G175">
        <v>1753</v>
      </c>
      <c r="H175">
        <v>1660</v>
      </c>
      <c r="I175">
        <v>93</v>
      </c>
      <c r="J175">
        <v>12.6</v>
      </c>
      <c r="K175">
        <v>468</v>
      </c>
      <c r="L175">
        <v>0.97499999999999998</v>
      </c>
      <c r="M175">
        <v>0.78660256410256413</v>
      </c>
      <c r="N175">
        <v>0.94694808899030236</v>
      </c>
      <c r="O175">
        <v>0.72625000000000006</v>
      </c>
    </row>
    <row r="176" spans="1:15" x14ac:dyDescent="0.3">
      <c r="A176">
        <v>175</v>
      </c>
      <c r="B176" s="1">
        <v>45672</v>
      </c>
      <c r="C176" t="s">
        <v>20</v>
      </c>
      <c r="D176" t="s">
        <v>18</v>
      </c>
      <c r="E176">
        <v>480</v>
      </c>
      <c r="F176">
        <v>0</v>
      </c>
      <c r="G176">
        <v>2126</v>
      </c>
      <c r="H176">
        <v>2069</v>
      </c>
      <c r="I176">
        <v>57</v>
      </c>
      <c r="J176">
        <v>13.2</v>
      </c>
      <c r="K176">
        <v>480</v>
      </c>
      <c r="L176">
        <v>1</v>
      </c>
      <c r="M176">
        <v>0.9744166666666666</v>
      </c>
      <c r="N176">
        <v>0.97318908748824084</v>
      </c>
      <c r="O176">
        <v>0.94829166666666664</v>
      </c>
    </row>
    <row r="177" spans="1:15" x14ac:dyDescent="0.3">
      <c r="A177">
        <v>176</v>
      </c>
      <c r="B177" s="1">
        <v>45672</v>
      </c>
      <c r="C177" t="s">
        <v>20</v>
      </c>
      <c r="D177" t="s">
        <v>19</v>
      </c>
      <c r="E177">
        <v>480</v>
      </c>
      <c r="F177">
        <v>0</v>
      </c>
      <c r="G177">
        <v>1944</v>
      </c>
      <c r="H177">
        <v>1861</v>
      </c>
      <c r="I177">
        <v>83</v>
      </c>
      <c r="J177">
        <v>13.8</v>
      </c>
      <c r="K177">
        <v>480</v>
      </c>
      <c r="L177">
        <v>1</v>
      </c>
      <c r="M177">
        <v>0.93149999999999999</v>
      </c>
      <c r="N177">
        <v>0.95730452674897115</v>
      </c>
      <c r="O177">
        <v>0.89172916666666657</v>
      </c>
    </row>
    <row r="178" spans="1:15" x14ac:dyDescent="0.3">
      <c r="A178">
        <v>177</v>
      </c>
      <c r="B178" s="1">
        <v>45672</v>
      </c>
      <c r="C178" t="s">
        <v>21</v>
      </c>
      <c r="D178" t="s">
        <v>16</v>
      </c>
      <c r="E178">
        <v>480</v>
      </c>
      <c r="F178">
        <v>315</v>
      </c>
      <c r="G178">
        <v>656</v>
      </c>
      <c r="H178">
        <v>628</v>
      </c>
      <c r="I178">
        <v>28</v>
      </c>
      <c r="J178">
        <v>12</v>
      </c>
      <c r="K178">
        <v>165</v>
      </c>
      <c r="L178">
        <v>0.34375</v>
      </c>
      <c r="M178">
        <v>0.79515151515151516</v>
      </c>
      <c r="N178">
        <v>0.95731707317073167</v>
      </c>
      <c r="O178">
        <v>0.26166666666666666</v>
      </c>
    </row>
    <row r="179" spans="1:15" x14ac:dyDescent="0.3">
      <c r="A179">
        <v>178</v>
      </c>
      <c r="B179" s="1">
        <v>45672</v>
      </c>
      <c r="C179" t="s">
        <v>21</v>
      </c>
      <c r="D179" t="s">
        <v>17</v>
      </c>
      <c r="E179">
        <v>480</v>
      </c>
      <c r="F179">
        <v>0</v>
      </c>
      <c r="G179">
        <v>1730</v>
      </c>
      <c r="H179">
        <v>1691</v>
      </c>
      <c r="I179">
        <v>39</v>
      </c>
      <c r="J179">
        <v>12.6</v>
      </c>
      <c r="K179">
        <v>480</v>
      </c>
      <c r="L179">
        <v>1</v>
      </c>
      <c r="M179">
        <v>0.75687499999999996</v>
      </c>
      <c r="N179">
        <v>0.97745664739884397</v>
      </c>
      <c r="O179">
        <v>0.73981249999999998</v>
      </c>
    </row>
    <row r="180" spans="1:15" x14ac:dyDescent="0.3">
      <c r="A180">
        <v>179</v>
      </c>
      <c r="B180" s="1">
        <v>45672</v>
      </c>
      <c r="C180" t="s">
        <v>21</v>
      </c>
      <c r="D180" t="s">
        <v>18</v>
      </c>
      <c r="E180">
        <v>480</v>
      </c>
      <c r="F180">
        <v>185</v>
      </c>
      <c r="G180">
        <v>1184</v>
      </c>
      <c r="H180">
        <v>1147</v>
      </c>
      <c r="I180">
        <v>37</v>
      </c>
      <c r="J180">
        <v>13.2</v>
      </c>
      <c r="K180">
        <v>295</v>
      </c>
      <c r="L180">
        <v>0.61458333333333337</v>
      </c>
      <c r="M180">
        <v>0.88298305084745754</v>
      </c>
      <c r="N180">
        <v>0.96875</v>
      </c>
      <c r="O180">
        <v>0.52570833333333333</v>
      </c>
    </row>
    <row r="181" spans="1:15" x14ac:dyDescent="0.3">
      <c r="A181">
        <v>180</v>
      </c>
      <c r="B181" s="1">
        <v>45672</v>
      </c>
      <c r="C181" t="s">
        <v>21</v>
      </c>
      <c r="D181" t="s">
        <v>19</v>
      </c>
      <c r="E181">
        <v>480</v>
      </c>
      <c r="F181">
        <v>79</v>
      </c>
      <c r="G181">
        <v>1594</v>
      </c>
      <c r="H181">
        <v>1506</v>
      </c>
      <c r="I181">
        <v>88</v>
      </c>
      <c r="J181">
        <v>13.8</v>
      </c>
      <c r="K181">
        <v>401</v>
      </c>
      <c r="L181">
        <v>0.8354166666666667</v>
      </c>
      <c r="M181">
        <v>0.91426433915211969</v>
      </c>
      <c r="N181">
        <v>0.94479297365119197</v>
      </c>
      <c r="O181">
        <v>0.72162499999999996</v>
      </c>
    </row>
    <row r="182" spans="1:15" x14ac:dyDescent="0.3">
      <c r="A182">
        <v>181</v>
      </c>
      <c r="B182" s="1">
        <v>45673</v>
      </c>
      <c r="C182" t="s">
        <v>15</v>
      </c>
      <c r="D182" t="s">
        <v>16</v>
      </c>
      <c r="E182">
        <v>480</v>
      </c>
      <c r="F182">
        <v>0</v>
      </c>
      <c r="G182">
        <v>1931</v>
      </c>
      <c r="H182">
        <v>1818</v>
      </c>
      <c r="I182">
        <v>113</v>
      </c>
      <c r="J182">
        <v>12</v>
      </c>
      <c r="K182">
        <v>480</v>
      </c>
      <c r="L182">
        <v>1</v>
      </c>
      <c r="M182">
        <v>0.80458333333333332</v>
      </c>
      <c r="N182">
        <v>0.94148109787674783</v>
      </c>
      <c r="O182">
        <v>0.75750000000000006</v>
      </c>
    </row>
    <row r="183" spans="1:15" x14ac:dyDescent="0.3">
      <c r="A183">
        <v>182</v>
      </c>
      <c r="B183" s="1">
        <v>45673</v>
      </c>
      <c r="C183" t="s">
        <v>15</v>
      </c>
      <c r="D183" t="s">
        <v>17</v>
      </c>
      <c r="E183">
        <v>480</v>
      </c>
      <c r="F183">
        <v>0</v>
      </c>
      <c r="G183">
        <v>2163</v>
      </c>
      <c r="H183">
        <v>2089</v>
      </c>
      <c r="I183">
        <v>74</v>
      </c>
      <c r="J183">
        <v>12.6</v>
      </c>
      <c r="K183">
        <v>480</v>
      </c>
      <c r="L183">
        <v>1</v>
      </c>
      <c r="M183">
        <v>0.9463125</v>
      </c>
      <c r="N183">
        <v>0.96578825705039295</v>
      </c>
      <c r="O183">
        <v>0.91393749999999996</v>
      </c>
    </row>
    <row r="184" spans="1:15" x14ac:dyDescent="0.3">
      <c r="A184">
        <v>183</v>
      </c>
      <c r="B184" s="1">
        <v>45673</v>
      </c>
      <c r="C184" t="s">
        <v>15</v>
      </c>
      <c r="D184" t="s">
        <v>18</v>
      </c>
      <c r="E184">
        <v>480</v>
      </c>
      <c r="F184">
        <v>14</v>
      </c>
      <c r="G184">
        <v>1763</v>
      </c>
      <c r="H184">
        <v>1694</v>
      </c>
      <c r="I184">
        <v>69</v>
      </c>
      <c r="J184">
        <v>13.2</v>
      </c>
      <c r="K184">
        <v>466</v>
      </c>
      <c r="L184">
        <v>0.97083333333333333</v>
      </c>
      <c r="M184">
        <v>0.8323175965665236</v>
      </c>
      <c r="N184">
        <v>0.96086216676120251</v>
      </c>
      <c r="O184">
        <v>0.77641666666666664</v>
      </c>
    </row>
    <row r="185" spans="1:15" x14ac:dyDescent="0.3">
      <c r="A185">
        <v>184</v>
      </c>
      <c r="B185" s="1">
        <v>45673</v>
      </c>
      <c r="C185" t="s">
        <v>15</v>
      </c>
      <c r="D185" t="s">
        <v>19</v>
      </c>
      <c r="E185">
        <v>480</v>
      </c>
      <c r="F185">
        <v>0</v>
      </c>
      <c r="G185">
        <v>1752</v>
      </c>
      <c r="H185">
        <v>1650</v>
      </c>
      <c r="I185">
        <v>102</v>
      </c>
      <c r="J185">
        <v>13.8</v>
      </c>
      <c r="K185">
        <v>480</v>
      </c>
      <c r="L185">
        <v>1</v>
      </c>
      <c r="M185">
        <v>0.83950000000000002</v>
      </c>
      <c r="N185">
        <v>0.94178082191780821</v>
      </c>
      <c r="O185">
        <v>0.79062500000000002</v>
      </c>
    </row>
    <row r="186" spans="1:15" x14ac:dyDescent="0.3">
      <c r="A186">
        <v>185</v>
      </c>
      <c r="B186" s="1">
        <v>45673</v>
      </c>
      <c r="C186" t="s">
        <v>20</v>
      </c>
      <c r="D186" t="s">
        <v>16</v>
      </c>
      <c r="E186">
        <v>480</v>
      </c>
      <c r="F186">
        <v>66</v>
      </c>
      <c r="G186">
        <v>1614</v>
      </c>
      <c r="H186">
        <v>1520</v>
      </c>
      <c r="I186">
        <v>94</v>
      </c>
      <c r="J186">
        <v>12</v>
      </c>
      <c r="K186">
        <v>414</v>
      </c>
      <c r="L186">
        <v>0.86250000000000004</v>
      </c>
      <c r="M186">
        <v>0.77971014492753621</v>
      </c>
      <c r="N186">
        <v>0.9417596034696406</v>
      </c>
      <c r="O186">
        <v>0.6333333333333333</v>
      </c>
    </row>
    <row r="187" spans="1:15" x14ac:dyDescent="0.3">
      <c r="A187">
        <v>186</v>
      </c>
      <c r="B187" s="1">
        <v>45673</v>
      </c>
      <c r="C187" t="s">
        <v>20</v>
      </c>
      <c r="D187" t="s">
        <v>17</v>
      </c>
      <c r="E187">
        <v>480</v>
      </c>
      <c r="F187">
        <v>8</v>
      </c>
      <c r="G187">
        <v>1954</v>
      </c>
      <c r="H187">
        <v>1902</v>
      </c>
      <c r="I187">
        <v>52</v>
      </c>
      <c r="J187">
        <v>12.6</v>
      </c>
      <c r="K187">
        <v>472</v>
      </c>
      <c r="L187">
        <v>0.98333333333333328</v>
      </c>
      <c r="M187">
        <v>0.86936440677966098</v>
      </c>
      <c r="N187">
        <v>0.97338792221084958</v>
      </c>
      <c r="O187">
        <v>0.832125</v>
      </c>
    </row>
    <row r="188" spans="1:15" x14ac:dyDescent="0.3">
      <c r="A188">
        <v>187</v>
      </c>
      <c r="B188" s="1">
        <v>45673</v>
      </c>
      <c r="C188" t="s">
        <v>20</v>
      </c>
      <c r="D188" t="s">
        <v>18</v>
      </c>
      <c r="E188">
        <v>480</v>
      </c>
      <c r="F188">
        <v>44</v>
      </c>
      <c r="G188">
        <v>1503</v>
      </c>
      <c r="H188">
        <v>1433</v>
      </c>
      <c r="I188">
        <v>70</v>
      </c>
      <c r="J188">
        <v>13.2</v>
      </c>
      <c r="K188">
        <v>436</v>
      </c>
      <c r="L188">
        <v>0.90833333333333333</v>
      </c>
      <c r="M188">
        <v>0.75839449541284398</v>
      </c>
      <c r="N188">
        <v>0.95342648037258815</v>
      </c>
      <c r="O188">
        <v>0.65679166666666655</v>
      </c>
    </row>
    <row r="189" spans="1:15" x14ac:dyDescent="0.3">
      <c r="A189">
        <v>188</v>
      </c>
      <c r="B189" s="1">
        <v>45673</v>
      </c>
      <c r="C189" t="s">
        <v>20</v>
      </c>
      <c r="D189" t="s">
        <v>19</v>
      </c>
      <c r="E189">
        <v>480</v>
      </c>
      <c r="F189">
        <v>50</v>
      </c>
      <c r="G189">
        <v>1630</v>
      </c>
      <c r="H189">
        <v>1538</v>
      </c>
      <c r="I189">
        <v>92</v>
      </c>
      <c r="J189">
        <v>13.8</v>
      </c>
      <c r="K189">
        <v>430</v>
      </c>
      <c r="L189">
        <v>0.89583333333333337</v>
      </c>
      <c r="M189">
        <v>0.87186046511627902</v>
      </c>
      <c r="N189">
        <v>0.94355828220858895</v>
      </c>
      <c r="O189">
        <v>0.73695833333333327</v>
      </c>
    </row>
    <row r="190" spans="1:15" x14ac:dyDescent="0.3">
      <c r="A190">
        <v>189</v>
      </c>
      <c r="B190" s="1">
        <v>45673</v>
      </c>
      <c r="C190" t="s">
        <v>21</v>
      </c>
      <c r="D190" t="s">
        <v>16</v>
      </c>
      <c r="E190">
        <v>480</v>
      </c>
      <c r="F190">
        <v>0</v>
      </c>
      <c r="G190">
        <v>1867</v>
      </c>
      <c r="H190">
        <v>1807</v>
      </c>
      <c r="I190">
        <v>60</v>
      </c>
      <c r="J190">
        <v>12</v>
      </c>
      <c r="K190">
        <v>480</v>
      </c>
      <c r="L190">
        <v>1</v>
      </c>
      <c r="M190">
        <v>0.7779166666666667</v>
      </c>
      <c r="N190">
        <v>0.96786288162828071</v>
      </c>
      <c r="O190">
        <v>0.75291666666666679</v>
      </c>
    </row>
    <row r="191" spans="1:15" x14ac:dyDescent="0.3">
      <c r="A191">
        <v>190</v>
      </c>
      <c r="B191" s="1">
        <v>45673</v>
      </c>
      <c r="C191" t="s">
        <v>21</v>
      </c>
      <c r="D191" t="s">
        <v>17</v>
      </c>
      <c r="E191">
        <v>480</v>
      </c>
      <c r="F191">
        <v>208</v>
      </c>
      <c r="G191">
        <v>972</v>
      </c>
      <c r="H191">
        <v>917</v>
      </c>
      <c r="I191">
        <v>55</v>
      </c>
      <c r="J191">
        <v>12.6</v>
      </c>
      <c r="K191">
        <v>272</v>
      </c>
      <c r="L191">
        <v>0.56666666666666665</v>
      </c>
      <c r="M191">
        <v>0.75044117647058817</v>
      </c>
      <c r="N191">
        <v>0.94341563786008231</v>
      </c>
      <c r="O191">
        <v>0.40118749999999997</v>
      </c>
    </row>
    <row r="192" spans="1:15" x14ac:dyDescent="0.3">
      <c r="A192">
        <v>191</v>
      </c>
      <c r="B192" s="1">
        <v>45673</v>
      </c>
      <c r="C192" t="s">
        <v>21</v>
      </c>
      <c r="D192" t="s">
        <v>18</v>
      </c>
      <c r="E192">
        <v>480</v>
      </c>
      <c r="F192">
        <v>80</v>
      </c>
      <c r="G192">
        <v>1448</v>
      </c>
      <c r="H192">
        <v>1385</v>
      </c>
      <c r="I192">
        <v>63</v>
      </c>
      <c r="J192">
        <v>13.2</v>
      </c>
      <c r="K192">
        <v>400</v>
      </c>
      <c r="L192">
        <v>0.83333333333333337</v>
      </c>
      <c r="M192">
        <v>0.79639999999999989</v>
      </c>
      <c r="N192">
        <v>0.95649171270718236</v>
      </c>
      <c r="O192">
        <v>0.63479166666666664</v>
      </c>
    </row>
    <row r="193" spans="1:15" x14ac:dyDescent="0.3">
      <c r="A193">
        <v>192</v>
      </c>
      <c r="B193" s="1">
        <v>45673</v>
      </c>
      <c r="C193" t="s">
        <v>21</v>
      </c>
      <c r="D193" t="s">
        <v>19</v>
      </c>
      <c r="E193">
        <v>480</v>
      </c>
      <c r="F193">
        <v>17</v>
      </c>
      <c r="G193">
        <v>1911</v>
      </c>
      <c r="H193">
        <v>1875</v>
      </c>
      <c r="I193">
        <v>36</v>
      </c>
      <c r="J193">
        <v>13.8</v>
      </c>
      <c r="K193">
        <v>463</v>
      </c>
      <c r="L193">
        <v>0.96458333333333335</v>
      </c>
      <c r="M193">
        <v>0.94930885529157683</v>
      </c>
      <c r="N193">
        <v>0.98116169544740972</v>
      </c>
      <c r="O193">
        <v>0.89843750000000022</v>
      </c>
    </row>
    <row r="194" spans="1:15" x14ac:dyDescent="0.3">
      <c r="A194">
        <v>193</v>
      </c>
      <c r="B194" s="1">
        <v>45674</v>
      </c>
      <c r="C194" t="s">
        <v>15</v>
      </c>
      <c r="D194" t="s">
        <v>16</v>
      </c>
      <c r="E194">
        <v>480</v>
      </c>
      <c r="F194">
        <v>142</v>
      </c>
      <c r="G194">
        <v>1523</v>
      </c>
      <c r="H194">
        <v>1478</v>
      </c>
      <c r="I194">
        <v>45</v>
      </c>
      <c r="J194">
        <v>12</v>
      </c>
      <c r="K194">
        <v>338</v>
      </c>
      <c r="L194">
        <v>0.70416666666666672</v>
      </c>
      <c r="M194">
        <v>0.90118343195266271</v>
      </c>
      <c r="N194">
        <v>0.97045305318450426</v>
      </c>
      <c r="O194">
        <v>0.61583333333333334</v>
      </c>
    </row>
    <row r="195" spans="1:15" x14ac:dyDescent="0.3">
      <c r="A195">
        <v>194</v>
      </c>
      <c r="B195" s="1">
        <v>45674</v>
      </c>
      <c r="C195" t="s">
        <v>15</v>
      </c>
      <c r="D195" t="s">
        <v>17</v>
      </c>
      <c r="E195">
        <v>480</v>
      </c>
      <c r="F195">
        <v>223</v>
      </c>
      <c r="G195">
        <v>931</v>
      </c>
      <c r="H195">
        <v>877</v>
      </c>
      <c r="I195">
        <v>54</v>
      </c>
      <c r="J195">
        <v>12.6</v>
      </c>
      <c r="K195">
        <v>257</v>
      </c>
      <c r="L195">
        <v>0.53541666666666665</v>
      </c>
      <c r="M195">
        <v>0.76073929961089493</v>
      </c>
      <c r="N195">
        <v>0.9419978517722879</v>
      </c>
      <c r="O195">
        <v>0.38368749999999996</v>
      </c>
    </row>
    <row r="196" spans="1:15" x14ac:dyDescent="0.3">
      <c r="A196">
        <v>195</v>
      </c>
      <c r="B196" s="1">
        <v>45674</v>
      </c>
      <c r="C196" t="s">
        <v>15</v>
      </c>
      <c r="D196" t="s">
        <v>18</v>
      </c>
      <c r="E196">
        <v>480</v>
      </c>
      <c r="F196">
        <v>119</v>
      </c>
      <c r="G196">
        <v>1518</v>
      </c>
      <c r="H196">
        <v>1443</v>
      </c>
      <c r="I196">
        <v>75</v>
      </c>
      <c r="J196">
        <v>13.2</v>
      </c>
      <c r="K196">
        <v>361</v>
      </c>
      <c r="L196">
        <v>0.75208333333333333</v>
      </c>
      <c r="M196">
        <v>0.92509695290858718</v>
      </c>
      <c r="N196">
        <v>0.95059288537549402</v>
      </c>
      <c r="O196">
        <v>0.66137499999999994</v>
      </c>
    </row>
    <row r="197" spans="1:15" x14ac:dyDescent="0.3">
      <c r="A197">
        <v>196</v>
      </c>
      <c r="B197" s="1">
        <v>45674</v>
      </c>
      <c r="C197" t="s">
        <v>15</v>
      </c>
      <c r="D197" t="s">
        <v>19</v>
      </c>
      <c r="E197">
        <v>480</v>
      </c>
      <c r="F197">
        <v>25</v>
      </c>
      <c r="G197">
        <v>1663</v>
      </c>
      <c r="H197">
        <v>1589</v>
      </c>
      <c r="I197">
        <v>74</v>
      </c>
      <c r="J197">
        <v>13.8</v>
      </c>
      <c r="K197">
        <v>455</v>
      </c>
      <c r="L197">
        <v>0.94791666666666663</v>
      </c>
      <c r="M197">
        <v>0.84063736263736266</v>
      </c>
      <c r="N197">
        <v>0.95550210463018637</v>
      </c>
      <c r="O197">
        <v>0.76139583333333327</v>
      </c>
    </row>
    <row r="198" spans="1:15" x14ac:dyDescent="0.3">
      <c r="A198">
        <v>197</v>
      </c>
      <c r="B198" s="1">
        <v>45674</v>
      </c>
      <c r="C198" t="s">
        <v>20</v>
      </c>
      <c r="D198" t="s">
        <v>16</v>
      </c>
      <c r="E198">
        <v>480</v>
      </c>
      <c r="F198">
        <v>21</v>
      </c>
      <c r="G198">
        <v>1841</v>
      </c>
      <c r="H198">
        <v>1816</v>
      </c>
      <c r="I198">
        <v>25</v>
      </c>
      <c r="J198">
        <v>12</v>
      </c>
      <c r="K198">
        <v>459</v>
      </c>
      <c r="L198">
        <v>0.95625000000000004</v>
      </c>
      <c r="M198">
        <v>0.80217864923747273</v>
      </c>
      <c r="N198">
        <v>0.98642042368278104</v>
      </c>
      <c r="O198">
        <v>0.7566666666666666</v>
      </c>
    </row>
    <row r="199" spans="1:15" x14ac:dyDescent="0.3">
      <c r="A199">
        <v>198</v>
      </c>
      <c r="B199" s="1">
        <v>45674</v>
      </c>
      <c r="C199" t="s">
        <v>20</v>
      </c>
      <c r="D199" t="s">
        <v>17</v>
      </c>
      <c r="E199">
        <v>480</v>
      </c>
      <c r="F199">
        <v>70</v>
      </c>
      <c r="G199">
        <v>1635</v>
      </c>
      <c r="H199">
        <v>1587</v>
      </c>
      <c r="I199">
        <v>48</v>
      </c>
      <c r="J199">
        <v>12.6</v>
      </c>
      <c r="K199">
        <v>410</v>
      </c>
      <c r="L199">
        <v>0.85416666666666663</v>
      </c>
      <c r="M199">
        <v>0.83743902439024387</v>
      </c>
      <c r="N199">
        <v>0.97064220183486238</v>
      </c>
      <c r="O199">
        <v>0.69431249999999989</v>
      </c>
    </row>
    <row r="200" spans="1:15" x14ac:dyDescent="0.3">
      <c r="A200">
        <v>199</v>
      </c>
      <c r="B200" s="1">
        <v>45674</v>
      </c>
      <c r="C200" t="s">
        <v>20</v>
      </c>
      <c r="D200" t="s">
        <v>18</v>
      </c>
      <c r="E200">
        <v>480</v>
      </c>
      <c r="F200">
        <v>118</v>
      </c>
      <c r="G200">
        <v>1240</v>
      </c>
      <c r="H200">
        <v>1216</v>
      </c>
      <c r="I200">
        <v>24</v>
      </c>
      <c r="J200">
        <v>13.2</v>
      </c>
      <c r="K200">
        <v>362</v>
      </c>
      <c r="L200">
        <v>0.75416666666666665</v>
      </c>
      <c r="M200">
        <v>0.75359116022099448</v>
      </c>
      <c r="N200">
        <v>0.98064516129032253</v>
      </c>
      <c r="O200">
        <v>0.55733333333333335</v>
      </c>
    </row>
    <row r="201" spans="1:15" x14ac:dyDescent="0.3">
      <c r="A201">
        <v>200</v>
      </c>
      <c r="B201" s="1">
        <v>45674</v>
      </c>
      <c r="C201" t="s">
        <v>20</v>
      </c>
      <c r="D201" t="s">
        <v>19</v>
      </c>
      <c r="E201">
        <v>480</v>
      </c>
      <c r="F201">
        <v>0</v>
      </c>
      <c r="G201">
        <v>1876</v>
      </c>
      <c r="H201">
        <v>1774</v>
      </c>
      <c r="I201">
        <v>102</v>
      </c>
      <c r="J201">
        <v>13.8</v>
      </c>
      <c r="K201">
        <v>480</v>
      </c>
      <c r="L201">
        <v>1</v>
      </c>
      <c r="M201">
        <v>0.89891666666666681</v>
      </c>
      <c r="N201">
        <v>0.94562899786780386</v>
      </c>
      <c r="O201">
        <v>0.85004166666666681</v>
      </c>
    </row>
    <row r="202" spans="1:15" x14ac:dyDescent="0.3">
      <c r="A202">
        <v>201</v>
      </c>
      <c r="B202" s="1">
        <v>45674</v>
      </c>
      <c r="C202" t="s">
        <v>21</v>
      </c>
      <c r="D202" t="s">
        <v>16</v>
      </c>
      <c r="E202">
        <v>480</v>
      </c>
      <c r="F202">
        <v>54</v>
      </c>
      <c r="G202">
        <v>1723</v>
      </c>
      <c r="H202">
        <v>1682</v>
      </c>
      <c r="I202">
        <v>41</v>
      </c>
      <c r="J202">
        <v>12</v>
      </c>
      <c r="K202">
        <v>426</v>
      </c>
      <c r="L202">
        <v>0.88749999999999996</v>
      </c>
      <c r="M202">
        <v>0.80892018779342723</v>
      </c>
      <c r="N202">
        <v>0.97620429483459081</v>
      </c>
      <c r="O202">
        <v>0.70083333333333331</v>
      </c>
    </row>
    <row r="203" spans="1:15" x14ac:dyDescent="0.3">
      <c r="A203">
        <v>202</v>
      </c>
      <c r="B203" s="1">
        <v>45674</v>
      </c>
      <c r="C203" t="s">
        <v>21</v>
      </c>
      <c r="D203" t="s">
        <v>17</v>
      </c>
      <c r="E203">
        <v>480</v>
      </c>
      <c r="F203">
        <v>51</v>
      </c>
      <c r="G203">
        <v>1726</v>
      </c>
      <c r="H203">
        <v>1699</v>
      </c>
      <c r="I203">
        <v>27</v>
      </c>
      <c r="J203">
        <v>12.6</v>
      </c>
      <c r="K203">
        <v>429</v>
      </c>
      <c r="L203">
        <v>0.89375000000000004</v>
      </c>
      <c r="M203">
        <v>0.84489510489510489</v>
      </c>
      <c r="N203">
        <v>0.98435689455388176</v>
      </c>
      <c r="O203">
        <v>0.74331250000000004</v>
      </c>
    </row>
    <row r="204" spans="1:15" x14ac:dyDescent="0.3">
      <c r="A204">
        <v>203</v>
      </c>
      <c r="B204" s="1">
        <v>45674</v>
      </c>
      <c r="C204" t="s">
        <v>21</v>
      </c>
      <c r="D204" t="s">
        <v>18</v>
      </c>
      <c r="E204">
        <v>480</v>
      </c>
      <c r="F204">
        <v>0</v>
      </c>
      <c r="G204">
        <v>1978</v>
      </c>
      <c r="H204">
        <v>1941</v>
      </c>
      <c r="I204">
        <v>37</v>
      </c>
      <c r="J204">
        <v>13.2</v>
      </c>
      <c r="K204">
        <v>480</v>
      </c>
      <c r="L204">
        <v>1</v>
      </c>
      <c r="M204">
        <v>0.9065833333333333</v>
      </c>
      <c r="N204">
        <v>0.98129423660262893</v>
      </c>
      <c r="O204">
        <v>0.889625</v>
      </c>
    </row>
    <row r="205" spans="1:15" x14ac:dyDescent="0.3">
      <c r="A205">
        <v>204</v>
      </c>
      <c r="B205" s="1">
        <v>45674</v>
      </c>
      <c r="C205" t="s">
        <v>21</v>
      </c>
      <c r="D205" t="s">
        <v>19</v>
      </c>
      <c r="E205">
        <v>480</v>
      </c>
      <c r="F205">
        <v>44</v>
      </c>
      <c r="G205">
        <v>1773</v>
      </c>
      <c r="H205">
        <v>1707</v>
      </c>
      <c r="I205">
        <v>66</v>
      </c>
      <c r="J205">
        <v>13.8</v>
      </c>
      <c r="K205">
        <v>436</v>
      </c>
      <c r="L205">
        <v>0.90833333333333333</v>
      </c>
      <c r="M205">
        <v>0.93529816513761477</v>
      </c>
      <c r="N205">
        <v>0.9627749576988156</v>
      </c>
      <c r="O205">
        <v>0.8179375000000001</v>
      </c>
    </row>
    <row r="206" spans="1:15" x14ac:dyDescent="0.3">
      <c r="A206">
        <v>205</v>
      </c>
      <c r="B206" s="1">
        <v>45675</v>
      </c>
      <c r="C206" t="s">
        <v>15</v>
      </c>
      <c r="D206" t="s">
        <v>16</v>
      </c>
      <c r="E206">
        <v>480</v>
      </c>
      <c r="F206">
        <v>0</v>
      </c>
      <c r="G206">
        <v>2149</v>
      </c>
      <c r="H206">
        <v>2026</v>
      </c>
      <c r="I206">
        <v>123</v>
      </c>
      <c r="J206">
        <v>12</v>
      </c>
      <c r="K206">
        <v>480</v>
      </c>
      <c r="L206">
        <v>1</v>
      </c>
      <c r="M206">
        <v>0.89541666666666664</v>
      </c>
      <c r="N206">
        <v>0.94276407631456494</v>
      </c>
      <c r="O206">
        <v>0.84416666666666662</v>
      </c>
    </row>
    <row r="207" spans="1:15" x14ac:dyDescent="0.3">
      <c r="A207">
        <v>206</v>
      </c>
      <c r="B207" s="1">
        <v>45675</v>
      </c>
      <c r="C207" t="s">
        <v>15</v>
      </c>
      <c r="D207" t="s">
        <v>17</v>
      </c>
      <c r="E207">
        <v>480</v>
      </c>
      <c r="F207">
        <v>88</v>
      </c>
      <c r="G207">
        <v>1501</v>
      </c>
      <c r="H207">
        <v>1428</v>
      </c>
      <c r="I207">
        <v>73</v>
      </c>
      <c r="J207">
        <v>12.6</v>
      </c>
      <c r="K207">
        <v>392</v>
      </c>
      <c r="L207">
        <v>0.81666666666666665</v>
      </c>
      <c r="M207">
        <v>0.8041071428571428</v>
      </c>
      <c r="N207">
        <v>0.95136575616255825</v>
      </c>
      <c r="O207">
        <v>0.62474999999999992</v>
      </c>
    </row>
    <row r="208" spans="1:15" x14ac:dyDescent="0.3">
      <c r="A208">
        <v>207</v>
      </c>
      <c r="B208" s="1">
        <v>45675</v>
      </c>
      <c r="C208" t="s">
        <v>15</v>
      </c>
      <c r="D208" t="s">
        <v>18</v>
      </c>
      <c r="E208">
        <v>480</v>
      </c>
      <c r="F208">
        <v>23</v>
      </c>
      <c r="G208">
        <v>1838</v>
      </c>
      <c r="H208">
        <v>1805</v>
      </c>
      <c r="I208">
        <v>33</v>
      </c>
      <c r="J208">
        <v>13.2</v>
      </c>
      <c r="K208">
        <v>457</v>
      </c>
      <c r="L208">
        <v>0.95208333333333328</v>
      </c>
      <c r="M208">
        <v>0.88481400437636759</v>
      </c>
      <c r="N208">
        <v>0.98204570184983675</v>
      </c>
      <c r="O208">
        <v>0.82729166666666654</v>
      </c>
    </row>
    <row r="209" spans="1:15" x14ac:dyDescent="0.3">
      <c r="A209">
        <v>208</v>
      </c>
      <c r="B209" s="1">
        <v>45675</v>
      </c>
      <c r="C209" t="s">
        <v>15</v>
      </c>
      <c r="D209" t="s">
        <v>19</v>
      </c>
      <c r="E209">
        <v>480</v>
      </c>
      <c r="F209">
        <v>33</v>
      </c>
      <c r="G209">
        <v>1701</v>
      </c>
      <c r="H209">
        <v>1665</v>
      </c>
      <c r="I209">
        <v>36</v>
      </c>
      <c r="J209">
        <v>13.8</v>
      </c>
      <c r="K209">
        <v>447</v>
      </c>
      <c r="L209">
        <v>0.93125000000000002</v>
      </c>
      <c r="M209">
        <v>0.87523489932885912</v>
      </c>
      <c r="N209">
        <v>0.97883597883597884</v>
      </c>
      <c r="O209">
        <v>0.79781250000000004</v>
      </c>
    </row>
    <row r="210" spans="1:15" x14ac:dyDescent="0.3">
      <c r="A210">
        <v>209</v>
      </c>
      <c r="B210" s="1">
        <v>45675</v>
      </c>
      <c r="C210" t="s">
        <v>20</v>
      </c>
      <c r="D210" t="s">
        <v>16</v>
      </c>
      <c r="E210">
        <v>480</v>
      </c>
      <c r="F210">
        <v>23</v>
      </c>
      <c r="G210">
        <v>1938</v>
      </c>
      <c r="H210">
        <v>1850</v>
      </c>
      <c r="I210">
        <v>88</v>
      </c>
      <c r="J210">
        <v>12</v>
      </c>
      <c r="K210">
        <v>457</v>
      </c>
      <c r="L210">
        <v>0.95208333333333328</v>
      </c>
      <c r="M210">
        <v>0.84814004376367613</v>
      </c>
      <c r="N210">
        <v>0.95459236326109387</v>
      </c>
      <c r="O210">
        <v>0.77083333333333326</v>
      </c>
    </row>
    <row r="211" spans="1:15" x14ac:dyDescent="0.3">
      <c r="A211">
        <v>210</v>
      </c>
      <c r="B211" s="1">
        <v>45675</v>
      </c>
      <c r="C211" t="s">
        <v>20</v>
      </c>
      <c r="D211" t="s">
        <v>17</v>
      </c>
      <c r="E211">
        <v>480</v>
      </c>
      <c r="F211">
        <v>63</v>
      </c>
      <c r="G211">
        <v>1525</v>
      </c>
      <c r="H211">
        <v>1504</v>
      </c>
      <c r="I211">
        <v>21</v>
      </c>
      <c r="J211">
        <v>12.6</v>
      </c>
      <c r="K211">
        <v>417</v>
      </c>
      <c r="L211">
        <v>0.86875000000000002</v>
      </c>
      <c r="M211">
        <v>0.76798561151079137</v>
      </c>
      <c r="N211">
        <v>0.98622950819672128</v>
      </c>
      <c r="O211">
        <v>0.65800000000000003</v>
      </c>
    </row>
    <row r="212" spans="1:15" x14ac:dyDescent="0.3">
      <c r="A212">
        <v>211</v>
      </c>
      <c r="B212" s="1">
        <v>45675</v>
      </c>
      <c r="C212" t="s">
        <v>20</v>
      </c>
      <c r="D212" t="s">
        <v>18</v>
      </c>
      <c r="E212">
        <v>480</v>
      </c>
      <c r="F212">
        <v>11</v>
      </c>
      <c r="G212">
        <v>1772</v>
      </c>
      <c r="H212">
        <v>1749</v>
      </c>
      <c r="I212">
        <v>23</v>
      </c>
      <c r="J212">
        <v>13.2</v>
      </c>
      <c r="K212">
        <v>469</v>
      </c>
      <c r="L212">
        <v>0.9770833333333333</v>
      </c>
      <c r="M212">
        <v>0.83121535181236661</v>
      </c>
      <c r="N212">
        <v>0.98702031602708806</v>
      </c>
      <c r="O212">
        <v>0.80162499999999981</v>
      </c>
    </row>
    <row r="213" spans="1:15" x14ac:dyDescent="0.3">
      <c r="A213">
        <v>212</v>
      </c>
      <c r="B213" s="1">
        <v>45675</v>
      </c>
      <c r="C213" t="s">
        <v>20</v>
      </c>
      <c r="D213" t="s">
        <v>19</v>
      </c>
      <c r="E213">
        <v>480</v>
      </c>
      <c r="F213">
        <v>5</v>
      </c>
      <c r="G213">
        <v>1805</v>
      </c>
      <c r="H213">
        <v>1708</v>
      </c>
      <c r="I213">
        <v>97</v>
      </c>
      <c r="J213">
        <v>13.8</v>
      </c>
      <c r="K213">
        <v>475</v>
      </c>
      <c r="L213">
        <v>0.98958333333333337</v>
      </c>
      <c r="M213">
        <v>0.874</v>
      </c>
      <c r="N213">
        <v>0.94626038781163435</v>
      </c>
      <c r="O213">
        <v>0.81841666666666679</v>
      </c>
    </row>
    <row r="214" spans="1:15" x14ac:dyDescent="0.3">
      <c r="A214">
        <v>213</v>
      </c>
      <c r="B214" s="1">
        <v>45675</v>
      </c>
      <c r="C214" t="s">
        <v>21</v>
      </c>
      <c r="D214" t="s">
        <v>16</v>
      </c>
      <c r="E214">
        <v>480</v>
      </c>
      <c r="F214">
        <v>114</v>
      </c>
      <c r="G214">
        <v>1607</v>
      </c>
      <c r="H214">
        <v>1533</v>
      </c>
      <c r="I214">
        <v>74</v>
      </c>
      <c r="J214">
        <v>12</v>
      </c>
      <c r="K214">
        <v>366</v>
      </c>
      <c r="L214">
        <v>0.76249999999999996</v>
      </c>
      <c r="M214">
        <v>0.87814207650273224</v>
      </c>
      <c r="N214">
        <v>0.95395146235220907</v>
      </c>
      <c r="O214">
        <v>0.63874999999999993</v>
      </c>
    </row>
    <row r="215" spans="1:15" x14ac:dyDescent="0.3">
      <c r="A215">
        <v>214</v>
      </c>
      <c r="B215" s="1">
        <v>45675</v>
      </c>
      <c r="C215" t="s">
        <v>21</v>
      </c>
      <c r="D215" t="s">
        <v>17</v>
      </c>
      <c r="E215">
        <v>480</v>
      </c>
      <c r="F215">
        <v>63</v>
      </c>
      <c r="G215">
        <v>1569</v>
      </c>
      <c r="H215">
        <v>1500</v>
      </c>
      <c r="I215">
        <v>69</v>
      </c>
      <c r="J215">
        <v>12.6</v>
      </c>
      <c r="K215">
        <v>417</v>
      </c>
      <c r="L215">
        <v>0.86875000000000002</v>
      </c>
      <c r="M215">
        <v>0.7901438848920862</v>
      </c>
      <c r="N215">
        <v>0.95602294455066916</v>
      </c>
      <c r="O215">
        <v>0.65624999999999989</v>
      </c>
    </row>
    <row r="216" spans="1:15" x14ac:dyDescent="0.3">
      <c r="A216">
        <v>215</v>
      </c>
      <c r="B216" s="1">
        <v>45675</v>
      </c>
      <c r="C216" t="s">
        <v>21</v>
      </c>
      <c r="D216" t="s">
        <v>18</v>
      </c>
      <c r="E216">
        <v>480</v>
      </c>
      <c r="F216">
        <v>0</v>
      </c>
      <c r="G216">
        <v>1905</v>
      </c>
      <c r="H216">
        <v>1877</v>
      </c>
      <c r="I216">
        <v>28</v>
      </c>
      <c r="J216">
        <v>13.2</v>
      </c>
      <c r="K216">
        <v>480</v>
      </c>
      <c r="L216">
        <v>1</v>
      </c>
      <c r="M216">
        <v>0.87312500000000004</v>
      </c>
      <c r="N216">
        <v>0.98530183727034115</v>
      </c>
      <c r="O216">
        <v>0.86029166666666668</v>
      </c>
    </row>
    <row r="217" spans="1:15" x14ac:dyDescent="0.3">
      <c r="A217">
        <v>216</v>
      </c>
      <c r="B217" s="1">
        <v>45675</v>
      </c>
      <c r="C217" t="s">
        <v>21</v>
      </c>
      <c r="D217" t="s">
        <v>19</v>
      </c>
      <c r="E217">
        <v>480</v>
      </c>
      <c r="F217">
        <v>53</v>
      </c>
      <c r="G217">
        <v>1562</v>
      </c>
      <c r="H217">
        <v>1535</v>
      </c>
      <c r="I217">
        <v>27</v>
      </c>
      <c r="J217">
        <v>13.8</v>
      </c>
      <c r="K217">
        <v>427</v>
      </c>
      <c r="L217">
        <v>0.88958333333333328</v>
      </c>
      <c r="M217">
        <v>0.84135831381733028</v>
      </c>
      <c r="N217">
        <v>0.98271446862996159</v>
      </c>
      <c r="O217">
        <v>0.73552083333333329</v>
      </c>
    </row>
    <row r="218" spans="1:15" x14ac:dyDescent="0.3">
      <c r="A218">
        <v>217</v>
      </c>
      <c r="B218" s="1">
        <v>45676</v>
      </c>
      <c r="C218" t="s">
        <v>15</v>
      </c>
      <c r="D218" t="s">
        <v>16</v>
      </c>
      <c r="E218">
        <v>480</v>
      </c>
      <c r="F218">
        <v>37</v>
      </c>
      <c r="G218">
        <v>1815</v>
      </c>
      <c r="H218">
        <v>1773</v>
      </c>
      <c r="I218">
        <v>42</v>
      </c>
      <c r="J218">
        <v>12</v>
      </c>
      <c r="K218">
        <v>443</v>
      </c>
      <c r="L218">
        <v>0.92291666666666672</v>
      </c>
      <c r="M218">
        <v>0.81941309255079009</v>
      </c>
      <c r="N218">
        <v>0.97685950413223144</v>
      </c>
      <c r="O218">
        <v>0.73875000000000013</v>
      </c>
    </row>
    <row r="219" spans="1:15" x14ac:dyDescent="0.3">
      <c r="A219">
        <v>218</v>
      </c>
      <c r="B219" s="1">
        <v>45676</v>
      </c>
      <c r="C219" t="s">
        <v>15</v>
      </c>
      <c r="D219" t="s">
        <v>17</v>
      </c>
      <c r="E219">
        <v>480</v>
      </c>
      <c r="F219">
        <v>48</v>
      </c>
      <c r="G219">
        <v>1687</v>
      </c>
      <c r="H219">
        <v>1637</v>
      </c>
      <c r="I219">
        <v>50</v>
      </c>
      <c r="J219">
        <v>12.6</v>
      </c>
      <c r="K219">
        <v>432</v>
      </c>
      <c r="L219">
        <v>0.9</v>
      </c>
      <c r="M219">
        <v>0.82006944444444452</v>
      </c>
      <c r="N219">
        <v>0.97036158861885002</v>
      </c>
      <c r="O219">
        <v>0.71618750000000009</v>
      </c>
    </row>
    <row r="220" spans="1:15" x14ac:dyDescent="0.3">
      <c r="A220">
        <v>219</v>
      </c>
      <c r="B220" s="1">
        <v>45676</v>
      </c>
      <c r="C220" t="s">
        <v>15</v>
      </c>
      <c r="D220" t="s">
        <v>18</v>
      </c>
      <c r="E220">
        <v>480</v>
      </c>
      <c r="F220">
        <v>131</v>
      </c>
      <c r="G220">
        <v>1265</v>
      </c>
      <c r="H220">
        <v>1194</v>
      </c>
      <c r="I220">
        <v>71</v>
      </c>
      <c r="J220">
        <v>13.2</v>
      </c>
      <c r="K220">
        <v>349</v>
      </c>
      <c r="L220">
        <v>0.7270833333333333</v>
      </c>
      <c r="M220">
        <v>0.7974212034383954</v>
      </c>
      <c r="N220">
        <v>0.94387351778656126</v>
      </c>
      <c r="O220">
        <v>0.5472499999999999</v>
      </c>
    </row>
    <row r="221" spans="1:15" x14ac:dyDescent="0.3">
      <c r="A221">
        <v>220</v>
      </c>
      <c r="B221" s="1">
        <v>45676</v>
      </c>
      <c r="C221" t="s">
        <v>15</v>
      </c>
      <c r="D221" t="s">
        <v>19</v>
      </c>
      <c r="E221">
        <v>480</v>
      </c>
      <c r="F221">
        <v>0</v>
      </c>
      <c r="G221">
        <v>1957</v>
      </c>
      <c r="H221">
        <v>1901</v>
      </c>
      <c r="I221">
        <v>56</v>
      </c>
      <c r="J221">
        <v>13.8</v>
      </c>
      <c r="K221">
        <v>480</v>
      </c>
      <c r="L221">
        <v>1</v>
      </c>
      <c r="M221">
        <v>0.93772916666666672</v>
      </c>
      <c r="N221">
        <v>0.97138477261113954</v>
      </c>
      <c r="O221">
        <v>0.91089583333333346</v>
      </c>
    </row>
    <row r="222" spans="1:15" x14ac:dyDescent="0.3">
      <c r="A222">
        <v>221</v>
      </c>
      <c r="B222" s="1">
        <v>45676</v>
      </c>
      <c r="C222" t="s">
        <v>20</v>
      </c>
      <c r="D222" t="s">
        <v>16</v>
      </c>
      <c r="E222">
        <v>480</v>
      </c>
      <c r="F222">
        <v>294</v>
      </c>
      <c r="G222">
        <v>725</v>
      </c>
      <c r="H222">
        <v>687</v>
      </c>
      <c r="I222">
        <v>38</v>
      </c>
      <c r="J222">
        <v>12</v>
      </c>
      <c r="K222">
        <v>186</v>
      </c>
      <c r="L222">
        <v>0.38750000000000001</v>
      </c>
      <c r="M222">
        <v>0.77956989247311825</v>
      </c>
      <c r="N222">
        <v>0.94758620689655171</v>
      </c>
      <c r="O222">
        <v>0.28625</v>
      </c>
    </row>
    <row r="223" spans="1:15" x14ac:dyDescent="0.3">
      <c r="A223">
        <v>222</v>
      </c>
      <c r="B223" s="1">
        <v>45676</v>
      </c>
      <c r="C223" t="s">
        <v>20</v>
      </c>
      <c r="D223" t="s">
        <v>17</v>
      </c>
      <c r="E223">
        <v>480</v>
      </c>
      <c r="F223">
        <v>41</v>
      </c>
      <c r="G223">
        <v>1580</v>
      </c>
      <c r="H223">
        <v>1554</v>
      </c>
      <c r="I223">
        <v>26</v>
      </c>
      <c r="J223">
        <v>12.6</v>
      </c>
      <c r="K223">
        <v>439</v>
      </c>
      <c r="L223">
        <v>0.9145833333333333</v>
      </c>
      <c r="M223">
        <v>0.75580865603644642</v>
      </c>
      <c r="N223">
        <v>0.98354430379746838</v>
      </c>
      <c r="O223">
        <v>0.6798749999999999</v>
      </c>
    </row>
    <row r="224" spans="1:15" x14ac:dyDescent="0.3">
      <c r="A224">
        <v>223</v>
      </c>
      <c r="B224" s="1">
        <v>45676</v>
      </c>
      <c r="C224" t="s">
        <v>20</v>
      </c>
      <c r="D224" t="s">
        <v>18</v>
      </c>
      <c r="E224">
        <v>480</v>
      </c>
      <c r="F224">
        <v>43</v>
      </c>
      <c r="G224">
        <v>1772</v>
      </c>
      <c r="H224">
        <v>1697</v>
      </c>
      <c r="I224">
        <v>75</v>
      </c>
      <c r="J224">
        <v>13.2</v>
      </c>
      <c r="K224">
        <v>437</v>
      </c>
      <c r="L224">
        <v>0.91041666666666665</v>
      </c>
      <c r="M224">
        <v>0.89208237986270011</v>
      </c>
      <c r="N224">
        <v>0.95767494356659144</v>
      </c>
      <c r="O224">
        <v>0.77779166666666666</v>
      </c>
    </row>
    <row r="225" spans="1:15" x14ac:dyDescent="0.3">
      <c r="A225">
        <v>224</v>
      </c>
      <c r="B225" s="1">
        <v>45676</v>
      </c>
      <c r="C225" t="s">
        <v>20</v>
      </c>
      <c r="D225" t="s">
        <v>19</v>
      </c>
      <c r="E225">
        <v>480</v>
      </c>
      <c r="F225">
        <v>0</v>
      </c>
      <c r="G225">
        <v>1594</v>
      </c>
      <c r="H225">
        <v>1516</v>
      </c>
      <c r="I225">
        <v>78</v>
      </c>
      <c r="J225">
        <v>13.8</v>
      </c>
      <c r="K225">
        <v>480</v>
      </c>
      <c r="L225">
        <v>1</v>
      </c>
      <c r="M225">
        <v>0.76379166666666665</v>
      </c>
      <c r="N225">
        <v>0.95106649937264742</v>
      </c>
      <c r="O225">
        <v>0.7264166666666666</v>
      </c>
    </row>
    <row r="226" spans="1:15" x14ac:dyDescent="0.3">
      <c r="A226">
        <v>225</v>
      </c>
      <c r="B226" s="1">
        <v>45676</v>
      </c>
      <c r="C226" t="s">
        <v>21</v>
      </c>
      <c r="D226" t="s">
        <v>16</v>
      </c>
      <c r="E226">
        <v>480</v>
      </c>
      <c r="F226">
        <v>5</v>
      </c>
      <c r="G226">
        <v>2160</v>
      </c>
      <c r="H226">
        <v>2033</v>
      </c>
      <c r="I226">
        <v>127</v>
      </c>
      <c r="J226">
        <v>12</v>
      </c>
      <c r="K226">
        <v>475</v>
      </c>
      <c r="L226">
        <v>0.98958333333333337</v>
      </c>
      <c r="M226">
        <v>0.90947368421052632</v>
      </c>
      <c r="N226">
        <v>0.94120370370370365</v>
      </c>
      <c r="O226">
        <v>0.8470833333333333</v>
      </c>
    </row>
    <row r="227" spans="1:15" x14ac:dyDescent="0.3">
      <c r="A227">
        <v>226</v>
      </c>
      <c r="B227" s="1">
        <v>45676</v>
      </c>
      <c r="C227" t="s">
        <v>21</v>
      </c>
      <c r="D227" t="s">
        <v>17</v>
      </c>
      <c r="E227">
        <v>480</v>
      </c>
      <c r="F227">
        <v>16</v>
      </c>
      <c r="G227">
        <v>1708</v>
      </c>
      <c r="H227">
        <v>1632</v>
      </c>
      <c r="I227">
        <v>76</v>
      </c>
      <c r="J227">
        <v>12.6</v>
      </c>
      <c r="K227">
        <v>464</v>
      </c>
      <c r="L227">
        <v>0.96666666666666667</v>
      </c>
      <c r="M227">
        <v>0.77301724137931027</v>
      </c>
      <c r="N227">
        <v>0.95550351288056201</v>
      </c>
      <c r="O227">
        <v>0.71399999999999997</v>
      </c>
    </row>
    <row r="228" spans="1:15" x14ac:dyDescent="0.3">
      <c r="A228">
        <v>227</v>
      </c>
      <c r="B228" s="1">
        <v>45676</v>
      </c>
      <c r="C228" t="s">
        <v>21</v>
      </c>
      <c r="D228" t="s">
        <v>18</v>
      </c>
      <c r="E228">
        <v>480</v>
      </c>
      <c r="F228">
        <v>0</v>
      </c>
      <c r="G228">
        <v>1892</v>
      </c>
      <c r="H228">
        <v>1779</v>
      </c>
      <c r="I228">
        <v>113</v>
      </c>
      <c r="J228">
        <v>13.2</v>
      </c>
      <c r="K228">
        <v>480</v>
      </c>
      <c r="L228">
        <v>1</v>
      </c>
      <c r="M228">
        <v>0.86716666666666664</v>
      </c>
      <c r="N228">
        <v>0.94027484143763218</v>
      </c>
      <c r="O228">
        <v>0.81537499999999996</v>
      </c>
    </row>
    <row r="229" spans="1:15" x14ac:dyDescent="0.3">
      <c r="A229">
        <v>228</v>
      </c>
      <c r="B229" s="1">
        <v>45676</v>
      </c>
      <c r="C229" t="s">
        <v>21</v>
      </c>
      <c r="D229" t="s">
        <v>19</v>
      </c>
      <c r="E229">
        <v>480</v>
      </c>
      <c r="F229">
        <v>27</v>
      </c>
      <c r="G229">
        <v>1878</v>
      </c>
      <c r="H229">
        <v>1817</v>
      </c>
      <c r="I229">
        <v>61</v>
      </c>
      <c r="J229">
        <v>13.8</v>
      </c>
      <c r="K229">
        <v>453</v>
      </c>
      <c r="L229">
        <v>0.94374999999999998</v>
      </c>
      <c r="M229">
        <v>0.95350993377483451</v>
      </c>
      <c r="N229">
        <v>0.96751863684771033</v>
      </c>
      <c r="O229">
        <v>0.87064583333333345</v>
      </c>
    </row>
    <row r="230" spans="1:15" x14ac:dyDescent="0.3">
      <c r="A230">
        <v>229</v>
      </c>
      <c r="B230" s="1">
        <v>45677</v>
      </c>
      <c r="C230" t="s">
        <v>15</v>
      </c>
      <c r="D230" t="s">
        <v>16</v>
      </c>
      <c r="E230">
        <v>480</v>
      </c>
      <c r="F230">
        <v>0</v>
      </c>
      <c r="G230">
        <v>2003</v>
      </c>
      <c r="H230">
        <v>1942</v>
      </c>
      <c r="I230">
        <v>61</v>
      </c>
      <c r="J230">
        <v>12</v>
      </c>
      <c r="K230">
        <v>480</v>
      </c>
      <c r="L230">
        <v>1</v>
      </c>
      <c r="M230">
        <v>0.83458333333333334</v>
      </c>
      <c r="N230">
        <v>0.96954568147778331</v>
      </c>
      <c r="O230">
        <v>0.8091666666666667</v>
      </c>
    </row>
    <row r="231" spans="1:15" x14ac:dyDescent="0.3">
      <c r="A231">
        <v>230</v>
      </c>
      <c r="B231" s="1">
        <v>45677</v>
      </c>
      <c r="C231" t="s">
        <v>15</v>
      </c>
      <c r="D231" t="s">
        <v>17</v>
      </c>
      <c r="E231">
        <v>480</v>
      </c>
      <c r="F231">
        <v>31</v>
      </c>
      <c r="G231">
        <v>1866</v>
      </c>
      <c r="H231">
        <v>1828</v>
      </c>
      <c r="I231">
        <v>38</v>
      </c>
      <c r="J231">
        <v>12.6</v>
      </c>
      <c r="K231">
        <v>449</v>
      </c>
      <c r="L231">
        <v>0.93541666666666667</v>
      </c>
      <c r="M231">
        <v>0.87273942093541201</v>
      </c>
      <c r="N231">
        <v>0.97963558413719187</v>
      </c>
      <c r="O231">
        <v>0.79974999999999996</v>
      </c>
    </row>
    <row r="232" spans="1:15" x14ac:dyDescent="0.3">
      <c r="A232">
        <v>231</v>
      </c>
      <c r="B232" s="1">
        <v>45677</v>
      </c>
      <c r="C232" t="s">
        <v>15</v>
      </c>
      <c r="D232" t="s">
        <v>18</v>
      </c>
      <c r="E232">
        <v>480</v>
      </c>
      <c r="F232">
        <v>0</v>
      </c>
      <c r="G232">
        <v>1757</v>
      </c>
      <c r="H232">
        <v>1654</v>
      </c>
      <c r="I232">
        <v>103</v>
      </c>
      <c r="J232">
        <v>13.2</v>
      </c>
      <c r="K232">
        <v>480</v>
      </c>
      <c r="L232">
        <v>1</v>
      </c>
      <c r="M232">
        <v>0.80529166666666663</v>
      </c>
      <c r="N232">
        <v>0.94137734775184978</v>
      </c>
      <c r="O232">
        <v>0.75808333333333333</v>
      </c>
    </row>
    <row r="233" spans="1:15" x14ac:dyDescent="0.3">
      <c r="A233">
        <v>232</v>
      </c>
      <c r="B233" s="1">
        <v>45677</v>
      </c>
      <c r="C233" t="s">
        <v>15</v>
      </c>
      <c r="D233" t="s">
        <v>19</v>
      </c>
      <c r="E233">
        <v>480</v>
      </c>
      <c r="F233">
        <v>22</v>
      </c>
      <c r="G233">
        <v>1642</v>
      </c>
      <c r="H233">
        <v>1566</v>
      </c>
      <c r="I233">
        <v>76</v>
      </c>
      <c r="J233">
        <v>13.8</v>
      </c>
      <c r="K233">
        <v>458</v>
      </c>
      <c r="L233">
        <v>0.95416666666666672</v>
      </c>
      <c r="M233">
        <v>0.82458515283842804</v>
      </c>
      <c r="N233">
        <v>0.95371498172959801</v>
      </c>
      <c r="O233">
        <v>0.75037500000000013</v>
      </c>
    </row>
    <row r="234" spans="1:15" x14ac:dyDescent="0.3">
      <c r="A234">
        <v>233</v>
      </c>
      <c r="B234" s="1">
        <v>45677</v>
      </c>
      <c r="C234" t="s">
        <v>20</v>
      </c>
      <c r="D234" t="s">
        <v>16</v>
      </c>
      <c r="E234">
        <v>480</v>
      </c>
      <c r="F234">
        <v>12</v>
      </c>
      <c r="G234">
        <v>2177</v>
      </c>
      <c r="H234">
        <v>2059</v>
      </c>
      <c r="I234">
        <v>118</v>
      </c>
      <c r="J234">
        <v>12</v>
      </c>
      <c r="K234">
        <v>468</v>
      </c>
      <c r="L234">
        <v>0.97499999999999998</v>
      </c>
      <c r="M234">
        <v>0.93034188034188037</v>
      </c>
      <c r="N234">
        <v>0.94579696830500692</v>
      </c>
      <c r="O234">
        <v>0.85791666666666666</v>
      </c>
    </row>
    <row r="235" spans="1:15" x14ac:dyDescent="0.3">
      <c r="A235">
        <v>234</v>
      </c>
      <c r="B235" s="1">
        <v>45677</v>
      </c>
      <c r="C235" t="s">
        <v>20</v>
      </c>
      <c r="D235" t="s">
        <v>17</v>
      </c>
      <c r="E235">
        <v>480</v>
      </c>
      <c r="F235">
        <v>25</v>
      </c>
      <c r="G235">
        <v>1942</v>
      </c>
      <c r="H235">
        <v>1859</v>
      </c>
      <c r="I235">
        <v>83</v>
      </c>
      <c r="J235">
        <v>12.6</v>
      </c>
      <c r="K235">
        <v>455</v>
      </c>
      <c r="L235">
        <v>0.94791666666666663</v>
      </c>
      <c r="M235">
        <v>0.89630769230769236</v>
      </c>
      <c r="N235">
        <v>0.95726055612770344</v>
      </c>
      <c r="O235">
        <v>0.81331249999999999</v>
      </c>
    </row>
    <row r="236" spans="1:15" x14ac:dyDescent="0.3">
      <c r="A236">
        <v>235</v>
      </c>
      <c r="B236" s="1">
        <v>45677</v>
      </c>
      <c r="C236" t="s">
        <v>20</v>
      </c>
      <c r="D236" t="s">
        <v>18</v>
      </c>
      <c r="E236">
        <v>480</v>
      </c>
      <c r="F236">
        <v>31</v>
      </c>
      <c r="G236">
        <v>1570</v>
      </c>
      <c r="H236">
        <v>1499</v>
      </c>
      <c r="I236">
        <v>71</v>
      </c>
      <c r="J236">
        <v>13.2</v>
      </c>
      <c r="K236">
        <v>449</v>
      </c>
      <c r="L236">
        <v>0.93541666666666667</v>
      </c>
      <c r="M236">
        <v>0.76926503340757235</v>
      </c>
      <c r="N236">
        <v>0.95477707006369428</v>
      </c>
      <c r="O236">
        <v>0.68704166666666666</v>
      </c>
    </row>
    <row r="237" spans="1:15" x14ac:dyDescent="0.3">
      <c r="A237">
        <v>236</v>
      </c>
      <c r="B237" s="1">
        <v>45677</v>
      </c>
      <c r="C237" t="s">
        <v>20</v>
      </c>
      <c r="D237" t="s">
        <v>19</v>
      </c>
      <c r="E237">
        <v>480</v>
      </c>
      <c r="F237">
        <v>0</v>
      </c>
      <c r="G237">
        <v>1599</v>
      </c>
      <c r="H237">
        <v>1583</v>
      </c>
      <c r="I237">
        <v>16</v>
      </c>
      <c r="J237">
        <v>13.8</v>
      </c>
      <c r="K237">
        <v>480</v>
      </c>
      <c r="L237">
        <v>1</v>
      </c>
      <c r="M237">
        <v>0.76618750000000002</v>
      </c>
      <c r="N237">
        <v>0.98999374609130708</v>
      </c>
      <c r="O237">
        <v>0.75852083333333331</v>
      </c>
    </row>
    <row r="238" spans="1:15" x14ac:dyDescent="0.3">
      <c r="A238">
        <v>237</v>
      </c>
      <c r="B238" s="1">
        <v>45677</v>
      </c>
      <c r="C238" t="s">
        <v>21</v>
      </c>
      <c r="D238" t="s">
        <v>16</v>
      </c>
      <c r="E238">
        <v>480</v>
      </c>
      <c r="F238">
        <v>78</v>
      </c>
      <c r="G238">
        <v>1812</v>
      </c>
      <c r="H238">
        <v>1725</v>
      </c>
      <c r="I238">
        <v>87</v>
      </c>
      <c r="J238">
        <v>12</v>
      </c>
      <c r="K238">
        <v>402</v>
      </c>
      <c r="L238">
        <v>0.83750000000000002</v>
      </c>
      <c r="M238">
        <v>0.90149253731343282</v>
      </c>
      <c r="N238">
        <v>0.95198675496688745</v>
      </c>
      <c r="O238">
        <v>0.71875</v>
      </c>
    </row>
    <row r="239" spans="1:15" x14ac:dyDescent="0.3">
      <c r="A239">
        <v>238</v>
      </c>
      <c r="B239" s="1">
        <v>45677</v>
      </c>
      <c r="C239" t="s">
        <v>21</v>
      </c>
      <c r="D239" t="s">
        <v>17</v>
      </c>
      <c r="E239">
        <v>480</v>
      </c>
      <c r="F239">
        <v>154</v>
      </c>
      <c r="G239">
        <v>1269</v>
      </c>
      <c r="H239">
        <v>1208</v>
      </c>
      <c r="I239">
        <v>61</v>
      </c>
      <c r="J239">
        <v>12.6</v>
      </c>
      <c r="K239">
        <v>326</v>
      </c>
      <c r="L239">
        <v>0.6791666666666667</v>
      </c>
      <c r="M239">
        <v>0.81745398773006128</v>
      </c>
      <c r="N239">
        <v>0.95193065405831367</v>
      </c>
      <c r="O239">
        <v>0.52849999999999997</v>
      </c>
    </row>
    <row r="240" spans="1:15" x14ac:dyDescent="0.3">
      <c r="A240">
        <v>239</v>
      </c>
      <c r="B240" s="1">
        <v>45677</v>
      </c>
      <c r="C240" t="s">
        <v>21</v>
      </c>
      <c r="D240" t="s">
        <v>18</v>
      </c>
      <c r="E240">
        <v>480</v>
      </c>
      <c r="F240">
        <v>57</v>
      </c>
      <c r="G240">
        <v>1676</v>
      </c>
      <c r="H240">
        <v>1656</v>
      </c>
      <c r="I240">
        <v>20</v>
      </c>
      <c r="J240">
        <v>13.2</v>
      </c>
      <c r="K240">
        <v>423</v>
      </c>
      <c r="L240">
        <v>0.88124999999999998</v>
      </c>
      <c r="M240">
        <v>0.87167848699763584</v>
      </c>
      <c r="N240">
        <v>0.9880668257756563</v>
      </c>
      <c r="O240">
        <v>0.7589999999999999</v>
      </c>
    </row>
    <row r="241" spans="1:15" x14ac:dyDescent="0.3">
      <c r="A241">
        <v>240</v>
      </c>
      <c r="B241" s="1">
        <v>45677</v>
      </c>
      <c r="C241" t="s">
        <v>21</v>
      </c>
      <c r="D241" t="s">
        <v>19</v>
      </c>
      <c r="E241">
        <v>480</v>
      </c>
      <c r="F241">
        <v>81</v>
      </c>
      <c r="G241">
        <v>1436</v>
      </c>
      <c r="H241">
        <v>1356</v>
      </c>
      <c r="I241">
        <v>80</v>
      </c>
      <c r="J241">
        <v>13.8</v>
      </c>
      <c r="K241">
        <v>399</v>
      </c>
      <c r="L241">
        <v>0.83125000000000004</v>
      </c>
      <c r="M241">
        <v>0.82776942355889727</v>
      </c>
      <c r="N241">
        <v>0.94428969359331472</v>
      </c>
      <c r="O241">
        <v>0.64975000000000005</v>
      </c>
    </row>
    <row r="242" spans="1:15" x14ac:dyDescent="0.3">
      <c r="A242">
        <v>241</v>
      </c>
      <c r="B242" s="1">
        <v>45678</v>
      </c>
      <c r="C242" t="s">
        <v>15</v>
      </c>
      <c r="D242" t="s">
        <v>16</v>
      </c>
      <c r="E242">
        <v>480</v>
      </c>
      <c r="F242">
        <v>11</v>
      </c>
      <c r="G242">
        <v>2089</v>
      </c>
      <c r="H242">
        <v>1970</v>
      </c>
      <c r="I242">
        <v>119</v>
      </c>
      <c r="J242">
        <v>12</v>
      </c>
      <c r="K242">
        <v>469</v>
      </c>
      <c r="L242">
        <v>0.9770833333333333</v>
      </c>
      <c r="M242">
        <v>0.89083155650319834</v>
      </c>
      <c r="N242">
        <v>0.94303494494973672</v>
      </c>
      <c r="O242">
        <v>0.82083333333333341</v>
      </c>
    </row>
    <row r="243" spans="1:15" x14ac:dyDescent="0.3">
      <c r="A243">
        <v>242</v>
      </c>
      <c r="B243" s="1">
        <v>45678</v>
      </c>
      <c r="C243" t="s">
        <v>15</v>
      </c>
      <c r="D243" t="s">
        <v>17</v>
      </c>
      <c r="E243">
        <v>480</v>
      </c>
      <c r="F243">
        <v>98</v>
      </c>
      <c r="G243">
        <v>1634</v>
      </c>
      <c r="H243">
        <v>1595</v>
      </c>
      <c r="I243">
        <v>39</v>
      </c>
      <c r="J243">
        <v>12.6</v>
      </c>
      <c r="K243">
        <v>382</v>
      </c>
      <c r="L243">
        <v>0.79583333333333328</v>
      </c>
      <c r="M243">
        <v>0.89827225130890043</v>
      </c>
      <c r="N243">
        <v>0.9761321909424725</v>
      </c>
      <c r="O243">
        <v>0.69781249999999995</v>
      </c>
    </row>
    <row r="244" spans="1:15" x14ac:dyDescent="0.3">
      <c r="A244">
        <v>243</v>
      </c>
      <c r="B244" s="1">
        <v>45678</v>
      </c>
      <c r="C244" t="s">
        <v>15</v>
      </c>
      <c r="D244" t="s">
        <v>18</v>
      </c>
      <c r="E244">
        <v>480</v>
      </c>
      <c r="F244">
        <v>79</v>
      </c>
      <c r="G244">
        <v>1779</v>
      </c>
      <c r="H244">
        <v>1678</v>
      </c>
      <c r="I244">
        <v>101</v>
      </c>
      <c r="J244">
        <v>13.2</v>
      </c>
      <c r="K244">
        <v>401</v>
      </c>
      <c r="L244">
        <v>0.8354166666666667</v>
      </c>
      <c r="M244">
        <v>0.9760099750623441</v>
      </c>
      <c r="N244">
        <v>0.9432265317594154</v>
      </c>
      <c r="O244">
        <v>0.76908333333333334</v>
      </c>
    </row>
    <row r="245" spans="1:15" x14ac:dyDescent="0.3">
      <c r="A245">
        <v>244</v>
      </c>
      <c r="B245" s="1">
        <v>45678</v>
      </c>
      <c r="C245" t="s">
        <v>15</v>
      </c>
      <c r="D245" t="s">
        <v>19</v>
      </c>
      <c r="E245">
        <v>480</v>
      </c>
      <c r="F245">
        <v>0</v>
      </c>
      <c r="G245">
        <v>1644</v>
      </c>
      <c r="H245">
        <v>1617</v>
      </c>
      <c r="I245">
        <v>27</v>
      </c>
      <c r="J245">
        <v>13.8</v>
      </c>
      <c r="K245">
        <v>480</v>
      </c>
      <c r="L245">
        <v>1</v>
      </c>
      <c r="M245">
        <v>0.78775000000000006</v>
      </c>
      <c r="N245">
        <v>0.98357664233576647</v>
      </c>
      <c r="O245">
        <v>0.77481250000000013</v>
      </c>
    </row>
    <row r="246" spans="1:15" x14ac:dyDescent="0.3">
      <c r="A246">
        <v>245</v>
      </c>
      <c r="B246" s="1">
        <v>45678</v>
      </c>
      <c r="C246" t="s">
        <v>20</v>
      </c>
      <c r="D246" t="s">
        <v>16</v>
      </c>
      <c r="E246">
        <v>480</v>
      </c>
      <c r="F246">
        <v>59</v>
      </c>
      <c r="G246">
        <v>1864</v>
      </c>
      <c r="H246">
        <v>1798</v>
      </c>
      <c r="I246">
        <v>66</v>
      </c>
      <c r="J246">
        <v>12</v>
      </c>
      <c r="K246">
        <v>421</v>
      </c>
      <c r="L246">
        <v>0.87708333333333333</v>
      </c>
      <c r="M246">
        <v>0.88551068883610451</v>
      </c>
      <c r="N246">
        <v>0.96459227467811159</v>
      </c>
      <c r="O246">
        <v>0.74916666666666665</v>
      </c>
    </row>
    <row r="247" spans="1:15" x14ac:dyDescent="0.3">
      <c r="A247">
        <v>246</v>
      </c>
      <c r="B247" s="1">
        <v>45678</v>
      </c>
      <c r="C247" t="s">
        <v>20</v>
      </c>
      <c r="D247" t="s">
        <v>17</v>
      </c>
      <c r="E247">
        <v>480</v>
      </c>
      <c r="F247">
        <v>61</v>
      </c>
      <c r="G247">
        <v>1788</v>
      </c>
      <c r="H247">
        <v>1703</v>
      </c>
      <c r="I247">
        <v>85</v>
      </c>
      <c r="J247">
        <v>12.6</v>
      </c>
      <c r="K247">
        <v>419</v>
      </c>
      <c r="L247">
        <v>0.87291666666666667</v>
      </c>
      <c r="M247">
        <v>0.89613365155131264</v>
      </c>
      <c r="N247">
        <v>0.95246085011185677</v>
      </c>
      <c r="O247">
        <v>0.74506249999999996</v>
      </c>
    </row>
    <row r="248" spans="1:15" x14ac:dyDescent="0.3">
      <c r="A248">
        <v>247</v>
      </c>
      <c r="B248" s="1">
        <v>45678</v>
      </c>
      <c r="C248" t="s">
        <v>20</v>
      </c>
      <c r="D248" t="s">
        <v>18</v>
      </c>
      <c r="E248">
        <v>480</v>
      </c>
      <c r="F248">
        <v>0</v>
      </c>
      <c r="G248">
        <v>1867</v>
      </c>
      <c r="H248">
        <v>1848</v>
      </c>
      <c r="I248">
        <v>19</v>
      </c>
      <c r="J248">
        <v>13.2</v>
      </c>
      <c r="K248">
        <v>480</v>
      </c>
      <c r="L248">
        <v>1</v>
      </c>
      <c r="M248">
        <v>0.85570833333333329</v>
      </c>
      <c r="N248">
        <v>0.98982324584895554</v>
      </c>
      <c r="O248">
        <v>0.84699999999999998</v>
      </c>
    </row>
    <row r="249" spans="1:15" x14ac:dyDescent="0.3">
      <c r="A249">
        <v>248</v>
      </c>
      <c r="B249" s="1">
        <v>45678</v>
      </c>
      <c r="C249" t="s">
        <v>20</v>
      </c>
      <c r="D249" t="s">
        <v>19</v>
      </c>
      <c r="E249">
        <v>480</v>
      </c>
      <c r="F249">
        <v>6</v>
      </c>
      <c r="G249">
        <v>1735</v>
      </c>
      <c r="H249">
        <v>1649</v>
      </c>
      <c r="I249">
        <v>86</v>
      </c>
      <c r="J249">
        <v>13.8</v>
      </c>
      <c r="K249">
        <v>474</v>
      </c>
      <c r="L249">
        <v>0.98750000000000004</v>
      </c>
      <c r="M249">
        <v>0.84187763713080166</v>
      </c>
      <c r="N249">
        <v>0.95043227665706054</v>
      </c>
      <c r="O249">
        <v>0.79014583333333344</v>
      </c>
    </row>
    <row r="250" spans="1:15" x14ac:dyDescent="0.3">
      <c r="A250">
        <v>249</v>
      </c>
      <c r="B250" s="1">
        <v>45678</v>
      </c>
      <c r="C250" t="s">
        <v>21</v>
      </c>
      <c r="D250" t="s">
        <v>16</v>
      </c>
      <c r="E250">
        <v>480</v>
      </c>
      <c r="F250">
        <v>0</v>
      </c>
      <c r="G250">
        <v>2106</v>
      </c>
      <c r="H250">
        <v>2008</v>
      </c>
      <c r="I250">
        <v>98</v>
      </c>
      <c r="J250">
        <v>12</v>
      </c>
      <c r="K250">
        <v>480</v>
      </c>
      <c r="L250">
        <v>1</v>
      </c>
      <c r="M250">
        <v>0.87749999999999995</v>
      </c>
      <c r="N250">
        <v>0.95346628679962009</v>
      </c>
      <c r="O250">
        <v>0.83666666666666656</v>
      </c>
    </row>
    <row r="251" spans="1:15" x14ac:dyDescent="0.3">
      <c r="A251">
        <v>250</v>
      </c>
      <c r="B251" s="1">
        <v>45678</v>
      </c>
      <c r="C251" t="s">
        <v>21</v>
      </c>
      <c r="D251" t="s">
        <v>17</v>
      </c>
      <c r="E251">
        <v>480</v>
      </c>
      <c r="F251">
        <v>30</v>
      </c>
      <c r="G251">
        <v>1880</v>
      </c>
      <c r="H251">
        <v>1861</v>
      </c>
      <c r="I251">
        <v>19</v>
      </c>
      <c r="J251">
        <v>12.6</v>
      </c>
      <c r="K251">
        <v>450</v>
      </c>
      <c r="L251">
        <v>0.9375</v>
      </c>
      <c r="M251">
        <v>0.8773333333333333</v>
      </c>
      <c r="N251">
        <v>0.98989361702127665</v>
      </c>
      <c r="O251">
        <v>0.81418750000000006</v>
      </c>
    </row>
    <row r="252" spans="1:15" x14ac:dyDescent="0.3">
      <c r="A252">
        <v>251</v>
      </c>
      <c r="B252" s="1">
        <v>45678</v>
      </c>
      <c r="C252" t="s">
        <v>21</v>
      </c>
      <c r="D252" t="s">
        <v>18</v>
      </c>
      <c r="E252">
        <v>480</v>
      </c>
      <c r="F252">
        <v>6</v>
      </c>
      <c r="G252">
        <v>2090</v>
      </c>
      <c r="H252">
        <v>2031</v>
      </c>
      <c r="I252">
        <v>59</v>
      </c>
      <c r="J252">
        <v>13.2</v>
      </c>
      <c r="K252">
        <v>474</v>
      </c>
      <c r="L252">
        <v>0.98750000000000004</v>
      </c>
      <c r="M252">
        <v>0.97004219409282699</v>
      </c>
      <c r="N252">
        <v>0.97177033492822962</v>
      </c>
      <c r="O252">
        <v>0.93087500000000001</v>
      </c>
    </row>
    <row r="253" spans="1:15" x14ac:dyDescent="0.3">
      <c r="A253">
        <v>252</v>
      </c>
      <c r="B253" s="1">
        <v>45678</v>
      </c>
      <c r="C253" t="s">
        <v>21</v>
      </c>
      <c r="D253" t="s">
        <v>19</v>
      </c>
      <c r="E253">
        <v>480</v>
      </c>
      <c r="F253">
        <v>94</v>
      </c>
      <c r="G253">
        <v>1643</v>
      </c>
      <c r="H253">
        <v>1597</v>
      </c>
      <c r="I253">
        <v>46</v>
      </c>
      <c r="J253">
        <v>13.8</v>
      </c>
      <c r="K253">
        <v>386</v>
      </c>
      <c r="L253">
        <v>0.8041666666666667</v>
      </c>
      <c r="M253">
        <v>0.97898963730569954</v>
      </c>
      <c r="N253">
        <v>0.97200243457090685</v>
      </c>
      <c r="O253">
        <v>0.76522916666666663</v>
      </c>
    </row>
    <row r="254" spans="1:15" x14ac:dyDescent="0.3">
      <c r="A254">
        <v>253</v>
      </c>
      <c r="B254" s="1">
        <v>45679</v>
      </c>
      <c r="C254" t="s">
        <v>15</v>
      </c>
      <c r="D254" t="s">
        <v>16</v>
      </c>
      <c r="E254">
        <v>480</v>
      </c>
      <c r="F254">
        <v>28</v>
      </c>
      <c r="G254">
        <v>2107</v>
      </c>
      <c r="H254">
        <v>2077</v>
      </c>
      <c r="I254">
        <v>30</v>
      </c>
      <c r="J254">
        <v>12</v>
      </c>
      <c r="K254">
        <v>452</v>
      </c>
      <c r="L254">
        <v>0.94166666666666665</v>
      </c>
      <c r="M254">
        <v>0.93230088495575225</v>
      </c>
      <c r="N254">
        <v>0.98576174655908877</v>
      </c>
      <c r="O254">
        <v>0.86541666666666672</v>
      </c>
    </row>
    <row r="255" spans="1:15" x14ac:dyDescent="0.3">
      <c r="A255">
        <v>254</v>
      </c>
      <c r="B255" s="1">
        <v>45679</v>
      </c>
      <c r="C255" t="s">
        <v>15</v>
      </c>
      <c r="D255" t="s">
        <v>17</v>
      </c>
      <c r="E255">
        <v>480</v>
      </c>
      <c r="F255">
        <v>55</v>
      </c>
      <c r="G255">
        <v>1798</v>
      </c>
      <c r="H255">
        <v>1720</v>
      </c>
      <c r="I255">
        <v>78</v>
      </c>
      <c r="J255">
        <v>12.6</v>
      </c>
      <c r="K255">
        <v>425</v>
      </c>
      <c r="L255">
        <v>0.88541666666666663</v>
      </c>
      <c r="M255">
        <v>0.88842352941176472</v>
      </c>
      <c r="N255">
        <v>0.95661846496106784</v>
      </c>
      <c r="O255">
        <v>0.75250000000000006</v>
      </c>
    </row>
    <row r="256" spans="1:15" x14ac:dyDescent="0.3">
      <c r="A256">
        <v>255</v>
      </c>
      <c r="B256" s="1">
        <v>45679</v>
      </c>
      <c r="C256" t="s">
        <v>15</v>
      </c>
      <c r="D256" t="s">
        <v>18</v>
      </c>
      <c r="E256">
        <v>480</v>
      </c>
      <c r="F256">
        <v>10</v>
      </c>
      <c r="G256">
        <v>1640</v>
      </c>
      <c r="H256">
        <v>1619</v>
      </c>
      <c r="I256">
        <v>21</v>
      </c>
      <c r="J256">
        <v>13.2</v>
      </c>
      <c r="K256">
        <v>470</v>
      </c>
      <c r="L256">
        <v>0.97916666666666663</v>
      </c>
      <c r="M256">
        <v>0.76765957446808508</v>
      </c>
      <c r="N256">
        <v>0.9871951219512195</v>
      </c>
      <c r="O256">
        <v>0.7420416666666666</v>
      </c>
    </row>
    <row r="257" spans="1:15" x14ac:dyDescent="0.3">
      <c r="A257">
        <v>256</v>
      </c>
      <c r="B257" s="1">
        <v>45679</v>
      </c>
      <c r="C257" t="s">
        <v>15</v>
      </c>
      <c r="D257" t="s">
        <v>19</v>
      </c>
      <c r="E257">
        <v>480</v>
      </c>
      <c r="F257">
        <v>15</v>
      </c>
      <c r="G257">
        <v>1668</v>
      </c>
      <c r="H257">
        <v>1616</v>
      </c>
      <c r="I257">
        <v>52</v>
      </c>
      <c r="J257">
        <v>13.8</v>
      </c>
      <c r="K257">
        <v>465</v>
      </c>
      <c r="L257">
        <v>0.96875</v>
      </c>
      <c r="M257">
        <v>0.82503225806451619</v>
      </c>
      <c r="N257">
        <v>0.9688249400479616</v>
      </c>
      <c r="O257">
        <v>0.77433333333333332</v>
      </c>
    </row>
    <row r="258" spans="1:15" x14ac:dyDescent="0.3">
      <c r="A258">
        <v>257</v>
      </c>
      <c r="B258" s="1">
        <v>45679</v>
      </c>
      <c r="C258" t="s">
        <v>20</v>
      </c>
      <c r="D258" t="s">
        <v>16</v>
      </c>
      <c r="E258">
        <v>480</v>
      </c>
      <c r="F258">
        <v>0</v>
      </c>
      <c r="G258">
        <v>1921</v>
      </c>
      <c r="H258">
        <v>1845</v>
      </c>
      <c r="I258">
        <v>76</v>
      </c>
      <c r="J258">
        <v>12</v>
      </c>
      <c r="K258">
        <v>480</v>
      </c>
      <c r="L258">
        <v>1</v>
      </c>
      <c r="M258">
        <v>0.80041666666666667</v>
      </c>
      <c r="N258">
        <v>0.9604372722540343</v>
      </c>
      <c r="O258">
        <v>0.76874999999999993</v>
      </c>
    </row>
    <row r="259" spans="1:15" x14ac:dyDescent="0.3">
      <c r="A259">
        <v>258</v>
      </c>
      <c r="B259" s="1">
        <v>45679</v>
      </c>
      <c r="C259" t="s">
        <v>20</v>
      </c>
      <c r="D259" t="s">
        <v>17</v>
      </c>
      <c r="E259">
        <v>480</v>
      </c>
      <c r="F259">
        <v>93</v>
      </c>
      <c r="G259">
        <v>1460</v>
      </c>
      <c r="H259">
        <v>1419</v>
      </c>
      <c r="I259">
        <v>41</v>
      </c>
      <c r="J259">
        <v>12.6</v>
      </c>
      <c r="K259">
        <v>387</v>
      </c>
      <c r="L259">
        <v>0.80625000000000002</v>
      </c>
      <c r="M259">
        <v>0.79224806201550391</v>
      </c>
      <c r="N259">
        <v>0.97191780821917806</v>
      </c>
      <c r="O259">
        <v>0.62081249999999999</v>
      </c>
    </row>
    <row r="260" spans="1:15" x14ac:dyDescent="0.3">
      <c r="A260">
        <v>259</v>
      </c>
      <c r="B260" s="1">
        <v>45679</v>
      </c>
      <c r="C260" t="s">
        <v>20</v>
      </c>
      <c r="D260" t="s">
        <v>18</v>
      </c>
      <c r="E260">
        <v>480</v>
      </c>
      <c r="F260">
        <v>80</v>
      </c>
      <c r="G260">
        <v>1477</v>
      </c>
      <c r="H260">
        <v>1424</v>
      </c>
      <c r="I260">
        <v>53</v>
      </c>
      <c r="J260">
        <v>13.2</v>
      </c>
      <c r="K260">
        <v>400</v>
      </c>
      <c r="L260">
        <v>0.83333333333333337</v>
      </c>
      <c r="M260">
        <v>0.81234999999999991</v>
      </c>
      <c r="N260">
        <v>0.96411645226811105</v>
      </c>
      <c r="O260">
        <v>0.65266666666666662</v>
      </c>
    </row>
    <row r="261" spans="1:15" x14ac:dyDescent="0.3">
      <c r="A261">
        <v>260</v>
      </c>
      <c r="B261" s="1">
        <v>45679</v>
      </c>
      <c r="C261" t="s">
        <v>20</v>
      </c>
      <c r="D261" t="s">
        <v>19</v>
      </c>
      <c r="E261">
        <v>480</v>
      </c>
      <c r="F261">
        <v>46</v>
      </c>
      <c r="G261">
        <v>1763</v>
      </c>
      <c r="H261">
        <v>1705</v>
      </c>
      <c r="I261">
        <v>58</v>
      </c>
      <c r="J261">
        <v>13.8</v>
      </c>
      <c r="K261">
        <v>434</v>
      </c>
      <c r="L261">
        <v>0.90416666666666667</v>
      </c>
      <c r="M261">
        <v>0.93430875576036876</v>
      </c>
      <c r="N261">
        <v>0.9671015314804311</v>
      </c>
      <c r="O261">
        <v>0.81697916666666681</v>
      </c>
    </row>
    <row r="262" spans="1:15" x14ac:dyDescent="0.3">
      <c r="A262">
        <v>261</v>
      </c>
      <c r="B262" s="1">
        <v>45679</v>
      </c>
      <c r="C262" t="s">
        <v>21</v>
      </c>
      <c r="D262" t="s">
        <v>16</v>
      </c>
      <c r="E262">
        <v>480</v>
      </c>
      <c r="F262">
        <v>58</v>
      </c>
      <c r="G262">
        <v>1823</v>
      </c>
      <c r="H262">
        <v>1765</v>
      </c>
      <c r="I262">
        <v>58</v>
      </c>
      <c r="J262">
        <v>12</v>
      </c>
      <c r="K262">
        <v>422</v>
      </c>
      <c r="L262">
        <v>0.87916666666666665</v>
      </c>
      <c r="M262">
        <v>0.86398104265402842</v>
      </c>
      <c r="N262">
        <v>0.96818431157432805</v>
      </c>
      <c r="O262">
        <v>0.73541666666666661</v>
      </c>
    </row>
    <row r="263" spans="1:15" x14ac:dyDescent="0.3">
      <c r="A263">
        <v>262</v>
      </c>
      <c r="B263" s="1">
        <v>45679</v>
      </c>
      <c r="C263" t="s">
        <v>21</v>
      </c>
      <c r="D263" t="s">
        <v>17</v>
      </c>
      <c r="E263">
        <v>480</v>
      </c>
      <c r="F263">
        <v>21</v>
      </c>
      <c r="G263">
        <v>2120</v>
      </c>
      <c r="H263">
        <v>2092</v>
      </c>
      <c r="I263">
        <v>28</v>
      </c>
      <c r="J263">
        <v>12.6</v>
      </c>
      <c r="K263">
        <v>459</v>
      </c>
      <c r="L263">
        <v>0.95625000000000004</v>
      </c>
      <c r="M263">
        <v>0.96993464052287581</v>
      </c>
      <c r="N263">
        <v>0.98679245283018868</v>
      </c>
      <c r="O263">
        <v>0.91525000000000001</v>
      </c>
    </row>
    <row r="264" spans="1:15" x14ac:dyDescent="0.3">
      <c r="A264">
        <v>263</v>
      </c>
      <c r="B264" s="1">
        <v>45679</v>
      </c>
      <c r="C264" t="s">
        <v>21</v>
      </c>
      <c r="D264" t="s">
        <v>18</v>
      </c>
      <c r="E264">
        <v>480</v>
      </c>
      <c r="F264">
        <v>0</v>
      </c>
      <c r="G264">
        <v>1777</v>
      </c>
      <c r="H264">
        <v>1736</v>
      </c>
      <c r="I264">
        <v>41</v>
      </c>
      <c r="J264">
        <v>13.2</v>
      </c>
      <c r="K264">
        <v>480</v>
      </c>
      <c r="L264">
        <v>1</v>
      </c>
      <c r="M264">
        <v>0.81445833333333328</v>
      </c>
      <c r="N264">
        <v>0.97692740574001125</v>
      </c>
      <c r="O264">
        <v>0.79566666666666663</v>
      </c>
    </row>
    <row r="265" spans="1:15" x14ac:dyDescent="0.3">
      <c r="A265">
        <v>264</v>
      </c>
      <c r="B265" s="1">
        <v>45679</v>
      </c>
      <c r="C265" t="s">
        <v>21</v>
      </c>
      <c r="D265" t="s">
        <v>19</v>
      </c>
      <c r="E265">
        <v>480</v>
      </c>
      <c r="F265">
        <v>93</v>
      </c>
      <c r="G265">
        <v>1287</v>
      </c>
      <c r="H265">
        <v>1243</v>
      </c>
      <c r="I265">
        <v>44</v>
      </c>
      <c r="J265">
        <v>13.8</v>
      </c>
      <c r="K265">
        <v>387</v>
      </c>
      <c r="L265">
        <v>0.80625000000000002</v>
      </c>
      <c r="M265">
        <v>0.7648837209302326</v>
      </c>
      <c r="N265">
        <v>0.96581196581196582</v>
      </c>
      <c r="O265">
        <v>0.59560416666666671</v>
      </c>
    </row>
    <row r="266" spans="1:15" x14ac:dyDescent="0.3">
      <c r="A266">
        <v>265</v>
      </c>
      <c r="B266" s="1">
        <v>45680</v>
      </c>
      <c r="C266" t="s">
        <v>15</v>
      </c>
      <c r="D266" t="s">
        <v>16</v>
      </c>
      <c r="E266">
        <v>480</v>
      </c>
      <c r="F266">
        <v>0</v>
      </c>
      <c r="G266">
        <v>1834</v>
      </c>
      <c r="H266">
        <v>1733</v>
      </c>
      <c r="I266">
        <v>101</v>
      </c>
      <c r="J266">
        <v>12</v>
      </c>
      <c r="K266">
        <v>480</v>
      </c>
      <c r="L266">
        <v>1</v>
      </c>
      <c r="M266">
        <v>0.76416666666666666</v>
      </c>
      <c r="N266">
        <v>0.94492911668484192</v>
      </c>
      <c r="O266">
        <v>0.72208333333333341</v>
      </c>
    </row>
    <row r="267" spans="1:15" x14ac:dyDescent="0.3">
      <c r="A267">
        <v>266</v>
      </c>
      <c r="B267" s="1">
        <v>45680</v>
      </c>
      <c r="C267" t="s">
        <v>15</v>
      </c>
      <c r="D267" t="s">
        <v>17</v>
      </c>
      <c r="E267">
        <v>480</v>
      </c>
      <c r="F267">
        <v>0</v>
      </c>
      <c r="G267">
        <v>1994</v>
      </c>
      <c r="H267">
        <v>1934</v>
      </c>
      <c r="I267">
        <v>60</v>
      </c>
      <c r="J267">
        <v>12.6</v>
      </c>
      <c r="K267">
        <v>480</v>
      </c>
      <c r="L267">
        <v>1</v>
      </c>
      <c r="M267">
        <v>0.8723749999999999</v>
      </c>
      <c r="N267">
        <v>0.96990972918756269</v>
      </c>
      <c r="O267">
        <v>0.8461249999999999</v>
      </c>
    </row>
    <row r="268" spans="1:15" x14ac:dyDescent="0.3">
      <c r="A268">
        <v>267</v>
      </c>
      <c r="B268" s="1">
        <v>45680</v>
      </c>
      <c r="C268" t="s">
        <v>15</v>
      </c>
      <c r="D268" t="s">
        <v>18</v>
      </c>
      <c r="E268">
        <v>480</v>
      </c>
      <c r="F268">
        <v>154</v>
      </c>
      <c r="G268">
        <v>1129</v>
      </c>
      <c r="H268">
        <v>1095</v>
      </c>
      <c r="I268">
        <v>34</v>
      </c>
      <c r="J268">
        <v>13.2</v>
      </c>
      <c r="K268">
        <v>326</v>
      </c>
      <c r="L268">
        <v>0.6791666666666667</v>
      </c>
      <c r="M268">
        <v>0.76190184049079746</v>
      </c>
      <c r="N268">
        <v>0.96988485385296719</v>
      </c>
      <c r="O268">
        <v>0.50187499999999985</v>
      </c>
    </row>
    <row r="269" spans="1:15" x14ac:dyDescent="0.3">
      <c r="A269">
        <v>268</v>
      </c>
      <c r="B269" s="1">
        <v>45680</v>
      </c>
      <c r="C269" t="s">
        <v>15</v>
      </c>
      <c r="D269" t="s">
        <v>19</v>
      </c>
      <c r="E269">
        <v>480</v>
      </c>
      <c r="F269">
        <v>17</v>
      </c>
      <c r="G269">
        <v>1812</v>
      </c>
      <c r="H269">
        <v>1776</v>
      </c>
      <c r="I269">
        <v>36</v>
      </c>
      <c r="J269">
        <v>13.8</v>
      </c>
      <c r="K269">
        <v>463</v>
      </c>
      <c r="L269">
        <v>0.96458333333333335</v>
      </c>
      <c r="M269">
        <v>0.90012958963282941</v>
      </c>
      <c r="N269">
        <v>0.98013245033112584</v>
      </c>
      <c r="O269">
        <v>0.85100000000000009</v>
      </c>
    </row>
    <row r="270" spans="1:15" x14ac:dyDescent="0.3">
      <c r="A270">
        <v>269</v>
      </c>
      <c r="B270" s="1">
        <v>45680</v>
      </c>
      <c r="C270" t="s">
        <v>20</v>
      </c>
      <c r="D270" t="s">
        <v>16</v>
      </c>
      <c r="E270">
        <v>480</v>
      </c>
      <c r="F270">
        <v>101</v>
      </c>
      <c r="G270">
        <v>1665</v>
      </c>
      <c r="H270">
        <v>1605</v>
      </c>
      <c r="I270">
        <v>60</v>
      </c>
      <c r="J270">
        <v>12</v>
      </c>
      <c r="K270">
        <v>379</v>
      </c>
      <c r="L270">
        <v>0.7895833333333333</v>
      </c>
      <c r="M270">
        <v>0.87862796833773082</v>
      </c>
      <c r="N270">
        <v>0.963963963963964</v>
      </c>
      <c r="O270">
        <v>0.66874999999999996</v>
      </c>
    </row>
    <row r="271" spans="1:15" x14ac:dyDescent="0.3">
      <c r="A271">
        <v>270</v>
      </c>
      <c r="B271" s="1">
        <v>45680</v>
      </c>
      <c r="C271" t="s">
        <v>20</v>
      </c>
      <c r="D271" t="s">
        <v>17</v>
      </c>
      <c r="E271">
        <v>480</v>
      </c>
      <c r="F271">
        <v>0</v>
      </c>
      <c r="G271">
        <v>2166</v>
      </c>
      <c r="H271">
        <v>2067</v>
      </c>
      <c r="I271">
        <v>99</v>
      </c>
      <c r="J271">
        <v>12.6</v>
      </c>
      <c r="K271">
        <v>480</v>
      </c>
      <c r="L271">
        <v>1</v>
      </c>
      <c r="M271">
        <v>0.94762499999999994</v>
      </c>
      <c r="N271">
        <v>0.95429362880886426</v>
      </c>
      <c r="O271">
        <v>0.90431249999999996</v>
      </c>
    </row>
    <row r="272" spans="1:15" x14ac:dyDescent="0.3">
      <c r="A272">
        <v>271</v>
      </c>
      <c r="B272" s="1">
        <v>45680</v>
      </c>
      <c r="C272" t="s">
        <v>20</v>
      </c>
      <c r="D272" t="s">
        <v>18</v>
      </c>
      <c r="E272">
        <v>480</v>
      </c>
      <c r="F272">
        <v>0</v>
      </c>
      <c r="G272">
        <v>1991</v>
      </c>
      <c r="H272">
        <v>1917</v>
      </c>
      <c r="I272">
        <v>74</v>
      </c>
      <c r="J272">
        <v>13.2</v>
      </c>
      <c r="K272">
        <v>480</v>
      </c>
      <c r="L272">
        <v>1</v>
      </c>
      <c r="M272">
        <v>0.91254166666666658</v>
      </c>
      <c r="N272">
        <v>0.96283274736313407</v>
      </c>
      <c r="O272">
        <v>0.87862499999999988</v>
      </c>
    </row>
    <row r="273" spans="1:15" x14ac:dyDescent="0.3">
      <c r="A273">
        <v>272</v>
      </c>
      <c r="B273" s="1">
        <v>45680</v>
      </c>
      <c r="C273" t="s">
        <v>20</v>
      </c>
      <c r="D273" t="s">
        <v>19</v>
      </c>
      <c r="E273">
        <v>480</v>
      </c>
      <c r="F273">
        <v>0</v>
      </c>
      <c r="G273">
        <v>1785</v>
      </c>
      <c r="H273">
        <v>1724</v>
      </c>
      <c r="I273">
        <v>61</v>
      </c>
      <c r="J273">
        <v>13.8</v>
      </c>
      <c r="K273">
        <v>480</v>
      </c>
      <c r="L273">
        <v>1</v>
      </c>
      <c r="M273">
        <v>0.85531250000000003</v>
      </c>
      <c r="N273">
        <v>0.9658263305322129</v>
      </c>
      <c r="O273">
        <v>0.82608333333333339</v>
      </c>
    </row>
    <row r="274" spans="1:15" x14ac:dyDescent="0.3">
      <c r="A274">
        <v>273</v>
      </c>
      <c r="B274" s="1">
        <v>45680</v>
      </c>
      <c r="C274" t="s">
        <v>21</v>
      </c>
      <c r="D274" t="s">
        <v>16</v>
      </c>
      <c r="E274">
        <v>480</v>
      </c>
      <c r="F274">
        <v>0</v>
      </c>
      <c r="G274">
        <v>2322</v>
      </c>
      <c r="H274">
        <v>2201</v>
      </c>
      <c r="I274">
        <v>121</v>
      </c>
      <c r="J274">
        <v>12</v>
      </c>
      <c r="K274">
        <v>480</v>
      </c>
      <c r="L274">
        <v>1</v>
      </c>
      <c r="M274">
        <v>0.96750000000000003</v>
      </c>
      <c r="N274">
        <v>0.94788975021533162</v>
      </c>
      <c r="O274">
        <v>0.91708333333333336</v>
      </c>
    </row>
    <row r="275" spans="1:15" x14ac:dyDescent="0.3">
      <c r="A275">
        <v>274</v>
      </c>
      <c r="B275" s="1">
        <v>45680</v>
      </c>
      <c r="C275" t="s">
        <v>21</v>
      </c>
      <c r="D275" t="s">
        <v>17</v>
      </c>
      <c r="E275">
        <v>480</v>
      </c>
      <c r="F275">
        <v>55</v>
      </c>
      <c r="G275">
        <v>1893</v>
      </c>
      <c r="H275">
        <v>1831</v>
      </c>
      <c r="I275">
        <v>62</v>
      </c>
      <c r="J275">
        <v>12.6</v>
      </c>
      <c r="K275">
        <v>425</v>
      </c>
      <c r="L275">
        <v>0.88541666666666663</v>
      </c>
      <c r="M275">
        <v>0.93536470588235288</v>
      </c>
      <c r="N275">
        <v>0.96724775488642367</v>
      </c>
      <c r="O275">
        <v>0.8010624999999999</v>
      </c>
    </row>
    <row r="276" spans="1:15" x14ac:dyDescent="0.3">
      <c r="A276">
        <v>275</v>
      </c>
      <c r="B276" s="1">
        <v>45680</v>
      </c>
      <c r="C276" t="s">
        <v>21</v>
      </c>
      <c r="D276" t="s">
        <v>18</v>
      </c>
      <c r="E276">
        <v>480</v>
      </c>
      <c r="F276">
        <v>0</v>
      </c>
      <c r="G276">
        <v>2030</v>
      </c>
      <c r="H276">
        <v>1990</v>
      </c>
      <c r="I276">
        <v>40</v>
      </c>
      <c r="J276">
        <v>13.2</v>
      </c>
      <c r="K276">
        <v>480</v>
      </c>
      <c r="L276">
        <v>1</v>
      </c>
      <c r="M276">
        <v>0.93041666666666667</v>
      </c>
      <c r="N276">
        <v>0.98029556650246308</v>
      </c>
      <c r="O276">
        <v>0.91208333333333336</v>
      </c>
    </row>
    <row r="277" spans="1:15" x14ac:dyDescent="0.3">
      <c r="A277">
        <v>276</v>
      </c>
      <c r="B277" s="1">
        <v>45680</v>
      </c>
      <c r="C277" t="s">
        <v>21</v>
      </c>
      <c r="D277" t="s">
        <v>19</v>
      </c>
      <c r="E277">
        <v>480</v>
      </c>
      <c r="F277">
        <v>63</v>
      </c>
      <c r="G277">
        <v>1576</v>
      </c>
      <c r="H277">
        <v>1545</v>
      </c>
      <c r="I277">
        <v>31</v>
      </c>
      <c r="J277">
        <v>13.8</v>
      </c>
      <c r="K277">
        <v>417</v>
      </c>
      <c r="L277">
        <v>0.86875000000000002</v>
      </c>
      <c r="M277">
        <v>0.86925659472422079</v>
      </c>
      <c r="N277">
        <v>0.98032994923857864</v>
      </c>
      <c r="O277">
        <v>0.74031250000000015</v>
      </c>
    </row>
    <row r="278" spans="1:15" x14ac:dyDescent="0.3">
      <c r="A278">
        <v>277</v>
      </c>
      <c r="B278" s="1">
        <v>45681</v>
      </c>
      <c r="C278" t="s">
        <v>15</v>
      </c>
      <c r="D278" t="s">
        <v>16</v>
      </c>
      <c r="E278">
        <v>480</v>
      </c>
      <c r="F278">
        <v>116</v>
      </c>
      <c r="G278">
        <v>1745</v>
      </c>
      <c r="H278">
        <v>1681</v>
      </c>
      <c r="I278">
        <v>64</v>
      </c>
      <c r="J278">
        <v>12</v>
      </c>
      <c r="K278">
        <v>364</v>
      </c>
      <c r="L278">
        <v>0.7583333333333333</v>
      </c>
      <c r="M278">
        <v>0.95879120879120883</v>
      </c>
      <c r="N278">
        <v>0.96332378223495707</v>
      </c>
      <c r="O278">
        <v>0.70041666666666669</v>
      </c>
    </row>
    <row r="279" spans="1:15" x14ac:dyDescent="0.3">
      <c r="A279">
        <v>278</v>
      </c>
      <c r="B279" s="1">
        <v>45681</v>
      </c>
      <c r="C279" t="s">
        <v>15</v>
      </c>
      <c r="D279" t="s">
        <v>17</v>
      </c>
      <c r="E279">
        <v>480</v>
      </c>
      <c r="F279">
        <v>51</v>
      </c>
      <c r="G279">
        <v>1710</v>
      </c>
      <c r="H279">
        <v>1627</v>
      </c>
      <c r="I279">
        <v>83</v>
      </c>
      <c r="J279">
        <v>12.6</v>
      </c>
      <c r="K279">
        <v>429</v>
      </c>
      <c r="L279">
        <v>0.89375000000000004</v>
      </c>
      <c r="M279">
        <v>0.83706293706293711</v>
      </c>
      <c r="N279">
        <v>0.95146198830409356</v>
      </c>
      <c r="O279">
        <v>0.71181250000000007</v>
      </c>
    </row>
    <row r="280" spans="1:15" x14ac:dyDescent="0.3">
      <c r="A280">
        <v>279</v>
      </c>
      <c r="B280" s="1">
        <v>45681</v>
      </c>
      <c r="C280" t="s">
        <v>15</v>
      </c>
      <c r="D280" t="s">
        <v>18</v>
      </c>
      <c r="E280">
        <v>480</v>
      </c>
      <c r="F280">
        <v>6</v>
      </c>
      <c r="G280">
        <v>2008</v>
      </c>
      <c r="H280">
        <v>1930</v>
      </c>
      <c r="I280">
        <v>78</v>
      </c>
      <c r="J280">
        <v>13.2</v>
      </c>
      <c r="K280">
        <v>474</v>
      </c>
      <c r="L280">
        <v>0.98750000000000004</v>
      </c>
      <c r="M280">
        <v>0.93198312236286918</v>
      </c>
      <c r="N280">
        <v>0.96115537848605581</v>
      </c>
      <c r="O280">
        <v>0.88458333333333339</v>
      </c>
    </row>
    <row r="281" spans="1:15" x14ac:dyDescent="0.3">
      <c r="A281">
        <v>280</v>
      </c>
      <c r="B281" s="1">
        <v>45681</v>
      </c>
      <c r="C281" t="s">
        <v>15</v>
      </c>
      <c r="D281" t="s">
        <v>19</v>
      </c>
      <c r="E281">
        <v>480</v>
      </c>
      <c r="F281">
        <v>72</v>
      </c>
      <c r="G281">
        <v>1654</v>
      </c>
      <c r="H281">
        <v>1612</v>
      </c>
      <c r="I281">
        <v>42</v>
      </c>
      <c r="J281">
        <v>13.8</v>
      </c>
      <c r="K281">
        <v>408</v>
      </c>
      <c r="L281">
        <v>0.85</v>
      </c>
      <c r="M281">
        <v>0.93240196078431381</v>
      </c>
      <c r="N281">
        <v>0.97460701330108823</v>
      </c>
      <c r="O281">
        <v>0.77241666666666664</v>
      </c>
    </row>
    <row r="282" spans="1:15" x14ac:dyDescent="0.3">
      <c r="A282">
        <v>281</v>
      </c>
      <c r="B282" s="1">
        <v>45681</v>
      </c>
      <c r="C282" t="s">
        <v>20</v>
      </c>
      <c r="D282" t="s">
        <v>16</v>
      </c>
      <c r="E282">
        <v>480</v>
      </c>
      <c r="F282">
        <v>18</v>
      </c>
      <c r="G282">
        <v>2207</v>
      </c>
      <c r="H282">
        <v>2113</v>
      </c>
      <c r="I282">
        <v>94</v>
      </c>
      <c r="J282">
        <v>12</v>
      </c>
      <c r="K282">
        <v>462</v>
      </c>
      <c r="L282">
        <v>0.96250000000000002</v>
      </c>
      <c r="M282">
        <v>0.95541125541125538</v>
      </c>
      <c r="N282">
        <v>0.9574082464884458</v>
      </c>
      <c r="O282">
        <v>0.88041666666666663</v>
      </c>
    </row>
    <row r="283" spans="1:15" x14ac:dyDescent="0.3">
      <c r="A283">
        <v>282</v>
      </c>
      <c r="B283" s="1">
        <v>45681</v>
      </c>
      <c r="C283" t="s">
        <v>20</v>
      </c>
      <c r="D283" t="s">
        <v>17</v>
      </c>
      <c r="E283">
        <v>480</v>
      </c>
      <c r="F283">
        <v>0</v>
      </c>
      <c r="G283">
        <v>1945</v>
      </c>
      <c r="H283">
        <v>1866</v>
      </c>
      <c r="I283">
        <v>79</v>
      </c>
      <c r="J283">
        <v>12.6</v>
      </c>
      <c r="K283">
        <v>480</v>
      </c>
      <c r="L283">
        <v>1</v>
      </c>
      <c r="M283">
        <v>0.85093750000000001</v>
      </c>
      <c r="N283">
        <v>0.95938303341902309</v>
      </c>
      <c r="O283">
        <v>0.81637499999999996</v>
      </c>
    </row>
    <row r="284" spans="1:15" x14ac:dyDescent="0.3">
      <c r="A284">
        <v>283</v>
      </c>
      <c r="B284" s="1">
        <v>45681</v>
      </c>
      <c r="C284" t="s">
        <v>20</v>
      </c>
      <c r="D284" t="s">
        <v>18</v>
      </c>
      <c r="E284">
        <v>480</v>
      </c>
      <c r="F284">
        <v>0</v>
      </c>
      <c r="G284">
        <v>2079</v>
      </c>
      <c r="H284">
        <v>1975</v>
      </c>
      <c r="I284">
        <v>104</v>
      </c>
      <c r="J284">
        <v>13.2</v>
      </c>
      <c r="K284">
        <v>480</v>
      </c>
      <c r="L284">
        <v>1</v>
      </c>
      <c r="M284">
        <v>0.95287500000000003</v>
      </c>
      <c r="N284">
        <v>0.94997594997595003</v>
      </c>
      <c r="O284">
        <v>0.90520833333333339</v>
      </c>
    </row>
    <row r="285" spans="1:15" x14ac:dyDescent="0.3">
      <c r="A285">
        <v>284</v>
      </c>
      <c r="B285" s="1">
        <v>45681</v>
      </c>
      <c r="C285" t="s">
        <v>20</v>
      </c>
      <c r="D285" t="s">
        <v>19</v>
      </c>
      <c r="E285">
        <v>480</v>
      </c>
      <c r="F285">
        <v>71</v>
      </c>
      <c r="G285">
        <v>1694</v>
      </c>
      <c r="H285">
        <v>1641</v>
      </c>
      <c r="I285">
        <v>53</v>
      </c>
      <c r="J285">
        <v>13.8</v>
      </c>
      <c r="K285">
        <v>409</v>
      </c>
      <c r="L285">
        <v>0.8520833333333333</v>
      </c>
      <c r="M285">
        <v>0.95261613691931546</v>
      </c>
      <c r="N285">
        <v>0.96871310507674147</v>
      </c>
      <c r="O285">
        <v>0.78631250000000008</v>
      </c>
    </row>
    <row r="286" spans="1:15" x14ac:dyDescent="0.3">
      <c r="A286">
        <v>285</v>
      </c>
      <c r="B286" s="1">
        <v>45681</v>
      </c>
      <c r="C286" t="s">
        <v>21</v>
      </c>
      <c r="D286" t="s">
        <v>16</v>
      </c>
      <c r="E286">
        <v>480</v>
      </c>
      <c r="F286">
        <v>0</v>
      </c>
      <c r="G286">
        <v>1806</v>
      </c>
      <c r="H286">
        <v>1738</v>
      </c>
      <c r="I286">
        <v>68</v>
      </c>
      <c r="J286">
        <v>12</v>
      </c>
      <c r="K286">
        <v>480</v>
      </c>
      <c r="L286">
        <v>1</v>
      </c>
      <c r="M286">
        <v>0.75249999999999995</v>
      </c>
      <c r="N286">
        <v>0.96234772978959027</v>
      </c>
      <c r="O286">
        <v>0.72416666666666663</v>
      </c>
    </row>
    <row r="287" spans="1:15" x14ac:dyDescent="0.3">
      <c r="A287">
        <v>286</v>
      </c>
      <c r="B287" s="1">
        <v>45681</v>
      </c>
      <c r="C287" t="s">
        <v>21</v>
      </c>
      <c r="D287" t="s">
        <v>17</v>
      </c>
      <c r="E287">
        <v>480</v>
      </c>
      <c r="F287">
        <v>72</v>
      </c>
      <c r="G287">
        <v>1597</v>
      </c>
      <c r="H287">
        <v>1544</v>
      </c>
      <c r="I287">
        <v>53</v>
      </c>
      <c r="J287">
        <v>12.6</v>
      </c>
      <c r="K287">
        <v>408</v>
      </c>
      <c r="L287">
        <v>0.85</v>
      </c>
      <c r="M287">
        <v>0.82198529411764709</v>
      </c>
      <c r="N287">
        <v>0.96681277395115839</v>
      </c>
      <c r="O287">
        <v>0.67549999999999999</v>
      </c>
    </row>
    <row r="288" spans="1:15" x14ac:dyDescent="0.3">
      <c r="A288">
        <v>287</v>
      </c>
      <c r="B288" s="1">
        <v>45681</v>
      </c>
      <c r="C288" t="s">
        <v>21</v>
      </c>
      <c r="D288" t="s">
        <v>18</v>
      </c>
      <c r="E288">
        <v>480</v>
      </c>
      <c r="F288">
        <v>43</v>
      </c>
      <c r="G288">
        <v>1815</v>
      </c>
      <c r="H288">
        <v>1722</v>
      </c>
      <c r="I288">
        <v>93</v>
      </c>
      <c r="J288">
        <v>13.2</v>
      </c>
      <c r="K288">
        <v>437</v>
      </c>
      <c r="L288">
        <v>0.91041666666666665</v>
      </c>
      <c r="M288">
        <v>0.91372997711670478</v>
      </c>
      <c r="N288">
        <v>0.94876033057851239</v>
      </c>
      <c r="O288">
        <v>0.7892499999999999</v>
      </c>
    </row>
    <row r="289" spans="1:15" x14ac:dyDescent="0.3">
      <c r="A289">
        <v>288</v>
      </c>
      <c r="B289" s="1">
        <v>45681</v>
      </c>
      <c r="C289" t="s">
        <v>21</v>
      </c>
      <c r="D289" t="s">
        <v>19</v>
      </c>
      <c r="E289">
        <v>480</v>
      </c>
      <c r="F289">
        <v>0</v>
      </c>
      <c r="G289">
        <v>1680</v>
      </c>
      <c r="H289">
        <v>1652</v>
      </c>
      <c r="I289">
        <v>28</v>
      </c>
      <c r="J289">
        <v>13.8</v>
      </c>
      <c r="K289">
        <v>480</v>
      </c>
      <c r="L289">
        <v>1</v>
      </c>
      <c r="M289">
        <v>0.80500000000000005</v>
      </c>
      <c r="N289">
        <v>0.98333333333333328</v>
      </c>
      <c r="O289">
        <v>0.79158333333333331</v>
      </c>
    </row>
    <row r="290" spans="1:15" x14ac:dyDescent="0.3">
      <c r="A290">
        <v>289</v>
      </c>
      <c r="B290" s="1">
        <v>45682</v>
      </c>
      <c r="C290" t="s">
        <v>15</v>
      </c>
      <c r="D290" t="s">
        <v>16</v>
      </c>
      <c r="E290">
        <v>480</v>
      </c>
      <c r="F290">
        <v>31</v>
      </c>
      <c r="G290">
        <v>2004</v>
      </c>
      <c r="H290">
        <v>1949</v>
      </c>
      <c r="I290">
        <v>55</v>
      </c>
      <c r="J290">
        <v>12</v>
      </c>
      <c r="K290">
        <v>449</v>
      </c>
      <c r="L290">
        <v>0.93541666666666667</v>
      </c>
      <c r="M290">
        <v>0.89265033407572381</v>
      </c>
      <c r="N290">
        <v>0.97255489021956087</v>
      </c>
      <c r="O290">
        <v>0.81208333333333327</v>
      </c>
    </row>
    <row r="291" spans="1:15" x14ac:dyDescent="0.3">
      <c r="A291">
        <v>290</v>
      </c>
      <c r="B291" s="1">
        <v>45682</v>
      </c>
      <c r="C291" t="s">
        <v>15</v>
      </c>
      <c r="D291" t="s">
        <v>17</v>
      </c>
      <c r="E291">
        <v>480</v>
      </c>
      <c r="F291">
        <v>184</v>
      </c>
      <c r="G291">
        <v>1147</v>
      </c>
      <c r="H291">
        <v>1099</v>
      </c>
      <c r="I291">
        <v>48</v>
      </c>
      <c r="J291">
        <v>12.6</v>
      </c>
      <c r="K291">
        <v>296</v>
      </c>
      <c r="L291">
        <v>0.6166666666666667</v>
      </c>
      <c r="M291">
        <v>0.81374999999999997</v>
      </c>
      <c r="N291">
        <v>0.95815170008718398</v>
      </c>
      <c r="O291">
        <v>0.48081250000000003</v>
      </c>
    </row>
    <row r="292" spans="1:15" x14ac:dyDescent="0.3">
      <c r="A292">
        <v>291</v>
      </c>
      <c r="B292" s="1">
        <v>45682</v>
      </c>
      <c r="C292" t="s">
        <v>15</v>
      </c>
      <c r="D292" t="s">
        <v>18</v>
      </c>
      <c r="E292">
        <v>480</v>
      </c>
      <c r="F292">
        <v>52</v>
      </c>
      <c r="G292">
        <v>1878</v>
      </c>
      <c r="H292">
        <v>1778</v>
      </c>
      <c r="I292">
        <v>100</v>
      </c>
      <c r="J292">
        <v>13.2</v>
      </c>
      <c r="K292">
        <v>428</v>
      </c>
      <c r="L292">
        <v>0.89166666666666672</v>
      </c>
      <c r="M292">
        <v>0.96532710280373824</v>
      </c>
      <c r="N292">
        <v>0.94675186368477104</v>
      </c>
      <c r="O292">
        <v>0.81491666666666673</v>
      </c>
    </row>
    <row r="293" spans="1:15" x14ac:dyDescent="0.3">
      <c r="A293">
        <v>292</v>
      </c>
      <c r="B293" s="1">
        <v>45682</v>
      </c>
      <c r="C293" t="s">
        <v>15</v>
      </c>
      <c r="D293" t="s">
        <v>19</v>
      </c>
      <c r="E293">
        <v>480</v>
      </c>
      <c r="F293">
        <v>44</v>
      </c>
      <c r="G293">
        <v>1798</v>
      </c>
      <c r="H293">
        <v>1731</v>
      </c>
      <c r="I293">
        <v>67</v>
      </c>
      <c r="J293">
        <v>13.8</v>
      </c>
      <c r="K293">
        <v>436</v>
      </c>
      <c r="L293">
        <v>0.90833333333333333</v>
      </c>
      <c r="M293">
        <v>0.94848623853211012</v>
      </c>
      <c r="N293">
        <v>0.96273637374860954</v>
      </c>
      <c r="O293">
        <v>0.82943749999999994</v>
      </c>
    </row>
    <row r="294" spans="1:15" x14ac:dyDescent="0.3">
      <c r="A294">
        <v>293</v>
      </c>
      <c r="B294" s="1">
        <v>45682</v>
      </c>
      <c r="C294" t="s">
        <v>20</v>
      </c>
      <c r="D294" t="s">
        <v>16</v>
      </c>
      <c r="E294">
        <v>480</v>
      </c>
      <c r="F294">
        <v>80</v>
      </c>
      <c r="G294">
        <v>1628</v>
      </c>
      <c r="H294">
        <v>1542</v>
      </c>
      <c r="I294">
        <v>86</v>
      </c>
      <c r="J294">
        <v>12</v>
      </c>
      <c r="K294">
        <v>400</v>
      </c>
      <c r="L294">
        <v>0.83333333333333337</v>
      </c>
      <c r="M294">
        <v>0.81399999999999995</v>
      </c>
      <c r="N294">
        <v>0.94717444717444721</v>
      </c>
      <c r="O294">
        <v>0.64250000000000007</v>
      </c>
    </row>
    <row r="295" spans="1:15" x14ac:dyDescent="0.3">
      <c r="A295">
        <v>294</v>
      </c>
      <c r="B295" s="1">
        <v>45682</v>
      </c>
      <c r="C295" t="s">
        <v>20</v>
      </c>
      <c r="D295" t="s">
        <v>17</v>
      </c>
      <c r="E295">
        <v>480</v>
      </c>
      <c r="F295">
        <v>82</v>
      </c>
      <c r="G295">
        <v>1554</v>
      </c>
      <c r="H295">
        <v>1475</v>
      </c>
      <c r="I295">
        <v>79</v>
      </c>
      <c r="J295">
        <v>12.6</v>
      </c>
      <c r="K295">
        <v>398</v>
      </c>
      <c r="L295">
        <v>0.82916666666666672</v>
      </c>
      <c r="M295">
        <v>0.81994974874371851</v>
      </c>
      <c r="N295">
        <v>0.94916344916344919</v>
      </c>
      <c r="O295">
        <v>0.64531250000000007</v>
      </c>
    </row>
    <row r="296" spans="1:15" x14ac:dyDescent="0.3">
      <c r="A296">
        <v>295</v>
      </c>
      <c r="B296" s="1">
        <v>45682</v>
      </c>
      <c r="C296" t="s">
        <v>20</v>
      </c>
      <c r="D296" t="s">
        <v>18</v>
      </c>
      <c r="E296">
        <v>480</v>
      </c>
      <c r="F296">
        <v>35</v>
      </c>
      <c r="G296">
        <v>1522</v>
      </c>
      <c r="H296">
        <v>1472</v>
      </c>
      <c r="I296">
        <v>50</v>
      </c>
      <c r="J296">
        <v>13.2</v>
      </c>
      <c r="K296">
        <v>445</v>
      </c>
      <c r="L296">
        <v>0.92708333333333337</v>
      </c>
      <c r="M296">
        <v>0.75244943820224708</v>
      </c>
      <c r="N296">
        <v>0.96714848883048621</v>
      </c>
      <c r="O296">
        <v>0.67466666666666653</v>
      </c>
    </row>
    <row r="297" spans="1:15" x14ac:dyDescent="0.3">
      <c r="A297">
        <v>296</v>
      </c>
      <c r="B297" s="1">
        <v>45682</v>
      </c>
      <c r="C297" t="s">
        <v>20</v>
      </c>
      <c r="D297" t="s">
        <v>19</v>
      </c>
      <c r="E297">
        <v>480</v>
      </c>
      <c r="F297">
        <v>16</v>
      </c>
      <c r="G297">
        <v>1857</v>
      </c>
      <c r="H297">
        <v>1834</v>
      </c>
      <c r="I297">
        <v>23</v>
      </c>
      <c r="J297">
        <v>13.8</v>
      </c>
      <c r="K297">
        <v>464</v>
      </c>
      <c r="L297">
        <v>0.96666666666666667</v>
      </c>
      <c r="M297">
        <v>0.92049568965517248</v>
      </c>
      <c r="N297">
        <v>0.98761443187937537</v>
      </c>
      <c r="O297">
        <v>0.87879166666666686</v>
      </c>
    </row>
    <row r="298" spans="1:15" x14ac:dyDescent="0.3">
      <c r="A298">
        <v>297</v>
      </c>
      <c r="B298" s="1">
        <v>45682</v>
      </c>
      <c r="C298" t="s">
        <v>21</v>
      </c>
      <c r="D298" t="s">
        <v>16</v>
      </c>
      <c r="E298">
        <v>480</v>
      </c>
      <c r="F298">
        <v>222</v>
      </c>
      <c r="G298">
        <v>1145</v>
      </c>
      <c r="H298">
        <v>1127</v>
      </c>
      <c r="I298">
        <v>18</v>
      </c>
      <c r="J298">
        <v>12</v>
      </c>
      <c r="K298">
        <v>258</v>
      </c>
      <c r="L298">
        <v>0.53749999999999998</v>
      </c>
      <c r="M298">
        <v>0.88759689922480622</v>
      </c>
      <c r="N298">
        <v>0.98427947598253274</v>
      </c>
      <c r="O298">
        <v>0.4695833333333333</v>
      </c>
    </row>
    <row r="299" spans="1:15" x14ac:dyDescent="0.3">
      <c r="A299">
        <v>298</v>
      </c>
      <c r="B299" s="1">
        <v>45682</v>
      </c>
      <c r="C299" t="s">
        <v>21</v>
      </c>
      <c r="D299" t="s">
        <v>17</v>
      </c>
      <c r="E299">
        <v>480</v>
      </c>
      <c r="F299">
        <v>0</v>
      </c>
      <c r="G299">
        <v>2192</v>
      </c>
      <c r="H299">
        <v>2097</v>
      </c>
      <c r="I299">
        <v>95</v>
      </c>
      <c r="J299">
        <v>12.6</v>
      </c>
      <c r="K299">
        <v>480</v>
      </c>
      <c r="L299">
        <v>1</v>
      </c>
      <c r="M299">
        <v>0.95900000000000007</v>
      </c>
      <c r="N299">
        <v>0.9566605839416058</v>
      </c>
      <c r="O299">
        <v>0.91743750000000002</v>
      </c>
    </row>
    <row r="300" spans="1:15" x14ac:dyDescent="0.3">
      <c r="A300">
        <v>299</v>
      </c>
      <c r="B300" s="1">
        <v>45682</v>
      </c>
      <c r="C300" t="s">
        <v>21</v>
      </c>
      <c r="D300" t="s">
        <v>18</v>
      </c>
      <c r="E300">
        <v>480</v>
      </c>
      <c r="F300">
        <v>102</v>
      </c>
      <c r="G300">
        <v>1463</v>
      </c>
      <c r="H300">
        <v>1404</v>
      </c>
      <c r="I300">
        <v>59</v>
      </c>
      <c r="J300">
        <v>13.2</v>
      </c>
      <c r="K300">
        <v>378</v>
      </c>
      <c r="L300">
        <v>0.78749999999999998</v>
      </c>
      <c r="M300">
        <v>0.85148148148148139</v>
      </c>
      <c r="N300">
        <v>0.95967190704032812</v>
      </c>
      <c r="O300">
        <v>0.64349999999999996</v>
      </c>
    </row>
    <row r="301" spans="1:15" x14ac:dyDescent="0.3">
      <c r="A301">
        <v>300</v>
      </c>
      <c r="B301" s="1">
        <v>45682</v>
      </c>
      <c r="C301" t="s">
        <v>21</v>
      </c>
      <c r="D301" t="s">
        <v>19</v>
      </c>
      <c r="E301">
        <v>480</v>
      </c>
      <c r="F301">
        <v>108</v>
      </c>
      <c r="G301">
        <v>1436</v>
      </c>
      <c r="H301">
        <v>1369</v>
      </c>
      <c r="I301">
        <v>67</v>
      </c>
      <c r="J301">
        <v>13.8</v>
      </c>
      <c r="K301">
        <v>372</v>
      </c>
      <c r="L301">
        <v>0.77500000000000002</v>
      </c>
      <c r="M301">
        <v>0.88784946236559137</v>
      </c>
      <c r="N301">
        <v>0.95334261838440115</v>
      </c>
      <c r="O301">
        <v>0.65597916666666678</v>
      </c>
    </row>
    <row r="302" spans="1:15" x14ac:dyDescent="0.3">
      <c r="A302">
        <v>301</v>
      </c>
      <c r="B302" s="1">
        <v>45683</v>
      </c>
      <c r="C302" t="s">
        <v>15</v>
      </c>
      <c r="D302" t="s">
        <v>16</v>
      </c>
      <c r="E302">
        <v>480</v>
      </c>
      <c r="F302">
        <v>25</v>
      </c>
      <c r="G302">
        <v>1779</v>
      </c>
      <c r="H302">
        <v>1737</v>
      </c>
      <c r="I302">
        <v>42</v>
      </c>
      <c r="J302">
        <v>12</v>
      </c>
      <c r="K302">
        <v>455</v>
      </c>
      <c r="L302">
        <v>0.94791666666666663</v>
      </c>
      <c r="M302">
        <v>0.78197802197802202</v>
      </c>
      <c r="N302">
        <v>0.97639123102866776</v>
      </c>
      <c r="O302">
        <v>0.72374999999999989</v>
      </c>
    </row>
    <row r="303" spans="1:15" x14ac:dyDescent="0.3">
      <c r="A303">
        <v>302</v>
      </c>
      <c r="B303" s="1">
        <v>45683</v>
      </c>
      <c r="C303" t="s">
        <v>15</v>
      </c>
      <c r="D303" t="s">
        <v>17</v>
      </c>
      <c r="E303">
        <v>480</v>
      </c>
      <c r="F303">
        <v>52</v>
      </c>
      <c r="G303">
        <v>1770</v>
      </c>
      <c r="H303">
        <v>1752</v>
      </c>
      <c r="I303">
        <v>18</v>
      </c>
      <c r="J303">
        <v>12.6</v>
      </c>
      <c r="K303">
        <v>428</v>
      </c>
      <c r="L303">
        <v>0.89166666666666672</v>
      </c>
      <c r="M303">
        <v>0.86845794392523368</v>
      </c>
      <c r="N303">
        <v>0.98983050847457632</v>
      </c>
      <c r="O303">
        <v>0.76650000000000007</v>
      </c>
    </row>
    <row r="304" spans="1:15" x14ac:dyDescent="0.3">
      <c r="A304">
        <v>303</v>
      </c>
      <c r="B304" s="1">
        <v>45683</v>
      </c>
      <c r="C304" t="s">
        <v>15</v>
      </c>
      <c r="D304" t="s">
        <v>18</v>
      </c>
      <c r="E304">
        <v>480</v>
      </c>
      <c r="F304">
        <v>0</v>
      </c>
      <c r="G304">
        <v>1746</v>
      </c>
      <c r="H304">
        <v>1726</v>
      </c>
      <c r="I304">
        <v>20</v>
      </c>
      <c r="J304">
        <v>13.2</v>
      </c>
      <c r="K304">
        <v>480</v>
      </c>
      <c r="L304">
        <v>1</v>
      </c>
      <c r="M304">
        <v>0.80024999999999991</v>
      </c>
      <c r="N304">
        <v>0.98854524627720508</v>
      </c>
      <c r="O304">
        <v>0.79108333333333325</v>
      </c>
    </row>
    <row r="305" spans="1:15" x14ac:dyDescent="0.3">
      <c r="A305">
        <v>304</v>
      </c>
      <c r="B305" s="1">
        <v>45683</v>
      </c>
      <c r="C305" t="s">
        <v>15</v>
      </c>
      <c r="D305" t="s">
        <v>19</v>
      </c>
      <c r="E305">
        <v>480</v>
      </c>
      <c r="F305">
        <v>0</v>
      </c>
      <c r="G305">
        <v>1727</v>
      </c>
      <c r="H305">
        <v>1641</v>
      </c>
      <c r="I305">
        <v>86</v>
      </c>
      <c r="J305">
        <v>13.8</v>
      </c>
      <c r="K305">
        <v>480</v>
      </c>
      <c r="L305">
        <v>1</v>
      </c>
      <c r="M305">
        <v>0.82752083333333337</v>
      </c>
      <c r="N305">
        <v>0.95020266357845973</v>
      </c>
      <c r="O305">
        <v>0.78631249999999997</v>
      </c>
    </row>
    <row r="306" spans="1:15" x14ac:dyDescent="0.3">
      <c r="A306">
        <v>305</v>
      </c>
      <c r="B306" s="1">
        <v>45683</v>
      </c>
      <c r="C306" t="s">
        <v>20</v>
      </c>
      <c r="D306" t="s">
        <v>16</v>
      </c>
      <c r="E306">
        <v>480</v>
      </c>
      <c r="F306">
        <v>73</v>
      </c>
      <c r="G306">
        <v>1579</v>
      </c>
      <c r="H306">
        <v>1536</v>
      </c>
      <c r="I306">
        <v>43</v>
      </c>
      <c r="J306">
        <v>12</v>
      </c>
      <c r="K306">
        <v>407</v>
      </c>
      <c r="L306">
        <v>0.84791666666666665</v>
      </c>
      <c r="M306">
        <v>0.77592137592137589</v>
      </c>
      <c r="N306">
        <v>0.97276757441418615</v>
      </c>
      <c r="O306">
        <v>0.6399999999999999</v>
      </c>
    </row>
    <row r="307" spans="1:15" x14ac:dyDescent="0.3">
      <c r="A307">
        <v>306</v>
      </c>
      <c r="B307" s="1">
        <v>45683</v>
      </c>
      <c r="C307" t="s">
        <v>20</v>
      </c>
      <c r="D307" t="s">
        <v>17</v>
      </c>
      <c r="E307">
        <v>480</v>
      </c>
      <c r="F307">
        <v>162</v>
      </c>
      <c r="G307">
        <v>1273</v>
      </c>
      <c r="H307">
        <v>1234</v>
      </c>
      <c r="I307">
        <v>39</v>
      </c>
      <c r="J307">
        <v>12.6</v>
      </c>
      <c r="K307">
        <v>318</v>
      </c>
      <c r="L307">
        <v>0.66249999999999998</v>
      </c>
      <c r="M307">
        <v>0.84066037735849053</v>
      </c>
      <c r="N307">
        <v>0.96936370777690495</v>
      </c>
      <c r="O307">
        <v>0.53987499999999999</v>
      </c>
    </row>
    <row r="308" spans="1:15" x14ac:dyDescent="0.3">
      <c r="A308">
        <v>307</v>
      </c>
      <c r="B308" s="1">
        <v>45683</v>
      </c>
      <c r="C308" t="s">
        <v>20</v>
      </c>
      <c r="D308" t="s">
        <v>18</v>
      </c>
      <c r="E308">
        <v>480</v>
      </c>
      <c r="F308">
        <v>226</v>
      </c>
      <c r="G308">
        <v>879</v>
      </c>
      <c r="H308">
        <v>859</v>
      </c>
      <c r="I308">
        <v>20</v>
      </c>
      <c r="J308">
        <v>13.2</v>
      </c>
      <c r="K308">
        <v>254</v>
      </c>
      <c r="L308">
        <v>0.52916666666666667</v>
      </c>
      <c r="M308">
        <v>0.76133858267716525</v>
      </c>
      <c r="N308">
        <v>0.97724687144482369</v>
      </c>
      <c r="O308">
        <v>0.39370833333333327</v>
      </c>
    </row>
    <row r="309" spans="1:15" x14ac:dyDescent="0.3">
      <c r="A309">
        <v>308</v>
      </c>
      <c r="B309" s="1">
        <v>45683</v>
      </c>
      <c r="C309" t="s">
        <v>20</v>
      </c>
      <c r="D309" t="s">
        <v>19</v>
      </c>
      <c r="E309">
        <v>480</v>
      </c>
      <c r="F309">
        <v>0</v>
      </c>
      <c r="G309">
        <v>1855</v>
      </c>
      <c r="H309">
        <v>1773</v>
      </c>
      <c r="I309">
        <v>82</v>
      </c>
      <c r="J309">
        <v>13.8</v>
      </c>
      <c r="K309">
        <v>480</v>
      </c>
      <c r="L309">
        <v>1</v>
      </c>
      <c r="M309">
        <v>0.88885416666666661</v>
      </c>
      <c r="N309">
        <v>0.9557951482479784</v>
      </c>
      <c r="O309">
        <v>0.84956249999999989</v>
      </c>
    </row>
    <row r="310" spans="1:15" x14ac:dyDescent="0.3">
      <c r="A310">
        <v>309</v>
      </c>
      <c r="B310" s="1">
        <v>45683</v>
      </c>
      <c r="C310" t="s">
        <v>21</v>
      </c>
      <c r="D310" t="s">
        <v>16</v>
      </c>
      <c r="E310">
        <v>480</v>
      </c>
      <c r="F310">
        <v>0</v>
      </c>
      <c r="G310">
        <v>2011</v>
      </c>
      <c r="H310">
        <v>1946</v>
      </c>
      <c r="I310">
        <v>65</v>
      </c>
      <c r="J310">
        <v>12</v>
      </c>
      <c r="K310">
        <v>480</v>
      </c>
      <c r="L310">
        <v>1</v>
      </c>
      <c r="M310">
        <v>0.83791666666666664</v>
      </c>
      <c r="N310">
        <v>0.96767777225261065</v>
      </c>
      <c r="O310">
        <v>0.81083333333333329</v>
      </c>
    </row>
    <row r="311" spans="1:15" x14ac:dyDescent="0.3">
      <c r="A311">
        <v>310</v>
      </c>
      <c r="B311" s="1">
        <v>45683</v>
      </c>
      <c r="C311" t="s">
        <v>21</v>
      </c>
      <c r="D311" t="s">
        <v>17</v>
      </c>
      <c r="E311">
        <v>480</v>
      </c>
      <c r="F311">
        <v>27</v>
      </c>
      <c r="G311">
        <v>1653</v>
      </c>
      <c r="H311">
        <v>1630</v>
      </c>
      <c r="I311">
        <v>23</v>
      </c>
      <c r="J311">
        <v>12.6</v>
      </c>
      <c r="K311">
        <v>453</v>
      </c>
      <c r="L311">
        <v>0.94374999999999998</v>
      </c>
      <c r="M311">
        <v>0.76629139072847674</v>
      </c>
      <c r="N311">
        <v>0.98608590441621291</v>
      </c>
      <c r="O311">
        <v>0.7131249999999999</v>
      </c>
    </row>
    <row r="312" spans="1:15" x14ac:dyDescent="0.3">
      <c r="A312">
        <v>311</v>
      </c>
      <c r="B312" s="1">
        <v>45683</v>
      </c>
      <c r="C312" t="s">
        <v>21</v>
      </c>
      <c r="D312" t="s">
        <v>18</v>
      </c>
      <c r="E312">
        <v>480</v>
      </c>
      <c r="F312">
        <v>86</v>
      </c>
      <c r="G312">
        <v>1703</v>
      </c>
      <c r="H312">
        <v>1625</v>
      </c>
      <c r="I312">
        <v>78</v>
      </c>
      <c r="J312">
        <v>13.2</v>
      </c>
      <c r="K312">
        <v>394</v>
      </c>
      <c r="L312">
        <v>0.8208333333333333</v>
      </c>
      <c r="M312">
        <v>0.95091370558375632</v>
      </c>
      <c r="N312">
        <v>0.95419847328244278</v>
      </c>
      <c r="O312">
        <v>0.74479166666666663</v>
      </c>
    </row>
    <row r="313" spans="1:15" x14ac:dyDescent="0.3">
      <c r="A313">
        <v>312</v>
      </c>
      <c r="B313" s="1">
        <v>45683</v>
      </c>
      <c r="C313" t="s">
        <v>21</v>
      </c>
      <c r="D313" t="s">
        <v>19</v>
      </c>
      <c r="E313">
        <v>480</v>
      </c>
      <c r="F313">
        <v>0</v>
      </c>
      <c r="G313">
        <v>1998</v>
      </c>
      <c r="H313">
        <v>1972</v>
      </c>
      <c r="I313">
        <v>26</v>
      </c>
      <c r="J313">
        <v>13.8</v>
      </c>
      <c r="K313">
        <v>480</v>
      </c>
      <c r="L313">
        <v>1</v>
      </c>
      <c r="M313">
        <v>0.95737500000000009</v>
      </c>
      <c r="N313">
        <v>0.98698698698698695</v>
      </c>
      <c r="O313">
        <v>0.94491666666666674</v>
      </c>
    </row>
    <row r="314" spans="1:15" x14ac:dyDescent="0.3">
      <c r="A314">
        <v>313</v>
      </c>
      <c r="B314" s="1">
        <v>45684</v>
      </c>
      <c r="C314" t="s">
        <v>15</v>
      </c>
      <c r="D314" t="s">
        <v>16</v>
      </c>
      <c r="E314">
        <v>480</v>
      </c>
      <c r="F314">
        <v>24</v>
      </c>
      <c r="G314">
        <v>1864</v>
      </c>
      <c r="H314">
        <v>1801</v>
      </c>
      <c r="I314">
        <v>63</v>
      </c>
      <c r="J314">
        <v>12</v>
      </c>
      <c r="K314">
        <v>456</v>
      </c>
      <c r="L314">
        <v>0.95</v>
      </c>
      <c r="M314">
        <v>0.81754385964912279</v>
      </c>
      <c r="N314">
        <v>0.96620171673819744</v>
      </c>
      <c r="O314">
        <v>0.75041666666666662</v>
      </c>
    </row>
    <row r="315" spans="1:15" x14ac:dyDescent="0.3">
      <c r="A315">
        <v>314</v>
      </c>
      <c r="B315" s="1">
        <v>45684</v>
      </c>
      <c r="C315" t="s">
        <v>15</v>
      </c>
      <c r="D315" t="s">
        <v>17</v>
      </c>
      <c r="E315">
        <v>480</v>
      </c>
      <c r="F315">
        <v>36</v>
      </c>
      <c r="G315">
        <v>1752</v>
      </c>
      <c r="H315">
        <v>1671</v>
      </c>
      <c r="I315">
        <v>81</v>
      </c>
      <c r="J315">
        <v>12.6</v>
      </c>
      <c r="K315">
        <v>444</v>
      </c>
      <c r="L315">
        <v>0.92500000000000004</v>
      </c>
      <c r="M315">
        <v>0.82864864864864862</v>
      </c>
      <c r="N315">
        <v>0.95376712328767121</v>
      </c>
      <c r="O315">
        <v>0.73106249999999995</v>
      </c>
    </row>
    <row r="316" spans="1:15" x14ac:dyDescent="0.3">
      <c r="A316">
        <v>315</v>
      </c>
      <c r="B316" s="1">
        <v>45684</v>
      </c>
      <c r="C316" t="s">
        <v>15</v>
      </c>
      <c r="D316" t="s">
        <v>18</v>
      </c>
      <c r="E316">
        <v>480</v>
      </c>
      <c r="F316">
        <v>111</v>
      </c>
      <c r="G316">
        <v>1575</v>
      </c>
      <c r="H316">
        <v>1492</v>
      </c>
      <c r="I316">
        <v>83</v>
      </c>
      <c r="J316">
        <v>13.2</v>
      </c>
      <c r="K316">
        <v>369</v>
      </c>
      <c r="L316">
        <v>0.76875000000000004</v>
      </c>
      <c r="M316">
        <v>0.93902439024390238</v>
      </c>
      <c r="N316">
        <v>0.94730158730158731</v>
      </c>
      <c r="O316">
        <v>0.6838333333333334</v>
      </c>
    </row>
    <row r="317" spans="1:15" x14ac:dyDescent="0.3">
      <c r="A317">
        <v>316</v>
      </c>
      <c r="B317" s="1">
        <v>45684</v>
      </c>
      <c r="C317" t="s">
        <v>15</v>
      </c>
      <c r="D317" t="s">
        <v>19</v>
      </c>
      <c r="E317">
        <v>480</v>
      </c>
      <c r="F317">
        <v>45</v>
      </c>
      <c r="G317">
        <v>1717</v>
      </c>
      <c r="H317">
        <v>1668</v>
      </c>
      <c r="I317">
        <v>49</v>
      </c>
      <c r="J317">
        <v>13.8</v>
      </c>
      <c r="K317">
        <v>435</v>
      </c>
      <c r="L317">
        <v>0.90625</v>
      </c>
      <c r="M317">
        <v>0.90783908045977024</v>
      </c>
      <c r="N317">
        <v>0.97146185206755975</v>
      </c>
      <c r="O317">
        <v>0.79925000000000013</v>
      </c>
    </row>
    <row r="318" spans="1:15" x14ac:dyDescent="0.3">
      <c r="A318">
        <v>317</v>
      </c>
      <c r="B318" s="1">
        <v>45684</v>
      </c>
      <c r="C318" t="s">
        <v>20</v>
      </c>
      <c r="D318" t="s">
        <v>16</v>
      </c>
      <c r="E318">
        <v>480</v>
      </c>
      <c r="F318">
        <v>0</v>
      </c>
      <c r="G318">
        <v>2037</v>
      </c>
      <c r="H318">
        <v>2003</v>
      </c>
      <c r="I318">
        <v>34</v>
      </c>
      <c r="J318">
        <v>12</v>
      </c>
      <c r="K318">
        <v>480</v>
      </c>
      <c r="L318">
        <v>1</v>
      </c>
      <c r="M318">
        <v>0.84875</v>
      </c>
      <c r="N318">
        <v>0.98330878743249872</v>
      </c>
      <c r="O318">
        <v>0.83458333333333334</v>
      </c>
    </row>
    <row r="319" spans="1:15" x14ac:dyDescent="0.3">
      <c r="A319">
        <v>318</v>
      </c>
      <c r="B319" s="1">
        <v>45684</v>
      </c>
      <c r="C319" t="s">
        <v>20</v>
      </c>
      <c r="D319" t="s">
        <v>17</v>
      </c>
      <c r="E319">
        <v>480</v>
      </c>
      <c r="F319">
        <v>58</v>
      </c>
      <c r="G319">
        <v>1540</v>
      </c>
      <c r="H319">
        <v>1494</v>
      </c>
      <c r="I319">
        <v>46</v>
      </c>
      <c r="J319">
        <v>12.6</v>
      </c>
      <c r="K319">
        <v>422</v>
      </c>
      <c r="L319">
        <v>0.87916666666666665</v>
      </c>
      <c r="M319">
        <v>0.76635071090047391</v>
      </c>
      <c r="N319">
        <v>0.97012987012987018</v>
      </c>
      <c r="O319">
        <v>0.65362500000000001</v>
      </c>
    </row>
    <row r="320" spans="1:15" x14ac:dyDescent="0.3">
      <c r="A320">
        <v>319</v>
      </c>
      <c r="B320" s="1">
        <v>45684</v>
      </c>
      <c r="C320" t="s">
        <v>20</v>
      </c>
      <c r="D320" t="s">
        <v>18</v>
      </c>
      <c r="E320">
        <v>480</v>
      </c>
      <c r="F320">
        <v>13</v>
      </c>
      <c r="G320">
        <v>1698</v>
      </c>
      <c r="H320">
        <v>1598</v>
      </c>
      <c r="I320">
        <v>100</v>
      </c>
      <c r="J320">
        <v>13.2</v>
      </c>
      <c r="K320">
        <v>467</v>
      </c>
      <c r="L320">
        <v>0.97291666666666665</v>
      </c>
      <c r="M320">
        <v>0.7999143468950749</v>
      </c>
      <c r="N320">
        <v>0.94110718492343937</v>
      </c>
      <c r="O320">
        <v>0.73241666666666672</v>
      </c>
    </row>
    <row r="321" spans="1:15" x14ac:dyDescent="0.3">
      <c r="A321">
        <v>320</v>
      </c>
      <c r="B321" s="1">
        <v>45684</v>
      </c>
      <c r="C321" t="s">
        <v>20</v>
      </c>
      <c r="D321" t="s">
        <v>19</v>
      </c>
      <c r="E321">
        <v>480</v>
      </c>
      <c r="F321">
        <v>71</v>
      </c>
      <c r="G321">
        <v>1490</v>
      </c>
      <c r="H321">
        <v>1473</v>
      </c>
      <c r="I321">
        <v>17</v>
      </c>
      <c r="J321">
        <v>13.8</v>
      </c>
      <c r="K321">
        <v>409</v>
      </c>
      <c r="L321">
        <v>0.8520833333333333</v>
      </c>
      <c r="M321">
        <v>0.8378973105134474</v>
      </c>
      <c r="N321">
        <v>0.98859060402684562</v>
      </c>
      <c r="O321">
        <v>0.70581249999999995</v>
      </c>
    </row>
    <row r="322" spans="1:15" x14ac:dyDescent="0.3">
      <c r="A322">
        <v>321</v>
      </c>
      <c r="B322" s="1">
        <v>45684</v>
      </c>
      <c r="C322" t="s">
        <v>21</v>
      </c>
      <c r="D322" t="s">
        <v>16</v>
      </c>
      <c r="E322">
        <v>480</v>
      </c>
      <c r="F322">
        <v>0</v>
      </c>
      <c r="G322">
        <v>2014</v>
      </c>
      <c r="H322">
        <v>1978</v>
      </c>
      <c r="I322">
        <v>36</v>
      </c>
      <c r="J322">
        <v>12</v>
      </c>
      <c r="K322">
        <v>480</v>
      </c>
      <c r="L322">
        <v>1</v>
      </c>
      <c r="M322">
        <v>0.83916666666666662</v>
      </c>
      <c r="N322">
        <v>0.98212512413108244</v>
      </c>
      <c r="O322">
        <v>0.8241666666666666</v>
      </c>
    </row>
    <row r="323" spans="1:15" x14ac:dyDescent="0.3">
      <c r="A323">
        <v>322</v>
      </c>
      <c r="B323" s="1">
        <v>45684</v>
      </c>
      <c r="C323" t="s">
        <v>21</v>
      </c>
      <c r="D323" t="s">
        <v>17</v>
      </c>
      <c r="E323">
        <v>480</v>
      </c>
      <c r="F323">
        <v>0</v>
      </c>
      <c r="G323">
        <v>2111</v>
      </c>
      <c r="H323">
        <v>2042</v>
      </c>
      <c r="I323">
        <v>69</v>
      </c>
      <c r="J323">
        <v>12.6</v>
      </c>
      <c r="K323">
        <v>480</v>
      </c>
      <c r="L323">
        <v>1</v>
      </c>
      <c r="M323">
        <v>0.92356249999999995</v>
      </c>
      <c r="N323">
        <v>0.96731406916153484</v>
      </c>
      <c r="O323">
        <v>0.89337500000000003</v>
      </c>
    </row>
    <row r="324" spans="1:15" x14ac:dyDescent="0.3">
      <c r="A324">
        <v>323</v>
      </c>
      <c r="B324" s="1">
        <v>45684</v>
      </c>
      <c r="C324" t="s">
        <v>21</v>
      </c>
      <c r="D324" t="s">
        <v>18</v>
      </c>
      <c r="E324">
        <v>480</v>
      </c>
      <c r="F324">
        <v>45</v>
      </c>
      <c r="G324">
        <v>1858</v>
      </c>
      <c r="H324">
        <v>1749</v>
      </c>
      <c r="I324">
        <v>109</v>
      </c>
      <c r="J324">
        <v>13.2</v>
      </c>
      <c r="K324">
        <v>435</v>
      </c>
      <c r="L324">
        <v>0.90625</v>
      </c>
      <c r="M324">
        <v>0.93967816091954015</v>
      </c>
      <c r="N324">
        <v>0.94133476856835308</v>
      </c>
      <c r="O324">
        <v>0.80162499999999992</v>
      </c>
    </row>
    <row r="325" spans="1:15" x14ac:dyDescent="0.3">
      <c r="A325">
        <v>324</v>
      </c>
      <c r="B325" s="1">
        <v>45684</v>
      </c>
      <c r="C325" t="s">
        <v>21</v>
      </c>
      <c r="D325" t="s">
        <v>19</v>
      </c>
      <c r="E325">
        <v>480</v>
      </c>
      <c r="F325">
        <v>13</v>
      </c>
      <c r="G325">
        <v>1781</v>
      </c>
      <c r="H325">
        <v>1715</v>
      </c>
      <c r="I325">
        <v>66</v>
      </c>
      <c r="J325">
        <v>13.8</v>
      </c>
      <c r="K325">
        <v>467</v>
      </c>
      <c r="L325">
        <v>0.97291666666666665</v>
      </c>
      <c r="M325">
        <v>0.87715203426124211</v>
      </c>
      <c r="N325">
        <v>0.96294216732172933</v>
      </c>
      <c r="O325">
        <v>0.82177083333333345</v>
      </c>
    </row>
    <row r="326" spans="1:15" x14ac:dyDescent="0.3">
      <c r="A326">
        <v>325</v>
      </c>
      <c r="B326" s="1">
        <v>45685</v>
      </c>
      <c r="C326" t="s">
        <v>15</v>
      </c>
      <c r="D326" t="s">
        <v>16</v>
      </c>
      <c r="E326">
        <v>480</v>
      </c>
      <c r="F326">
        <v>179</v>
      </c>
      <c r="G326">
        <v>1321</v>
      </c>
      <c r="H326">
        <v>1285</v>
      </c>
      <c r="I326">
        <v>36</v>
      </c>
      <c r="J326">
        <v>12</v>
      </c>
      <c r="K326">
        <v>301</v>
      </c>
      <c r="L326">
        <v>0.62708333333333333</v>
      </c>
      <c r="M326">
        <v>0.87774086378737537</v>
      </c>
      <c r="N326">
        <v>0.97274791824375473</v>
      </c>
      <c r="O326">
        <v>0.53541666666666665</v>
      </c>
    </row>
    <row r="327" spans="1:15" x14ac:dyDescent="0.3">
      <c r="A327">
        <v>326</v>
      </c>
      <c r="B327" s="1">
        <v>45685</v>
      </c>
      <c r="C327" t="s">
        <v>15</v>
      </c>
      <c r="D327" t="s">
        <v>17</v>
      </c>
      <c r="E327">
        <v>480</v>
      </c>
      <c r="F327">
        <v>19</v>
      </c>
      <c r="G327">
        <v>1893</v>
      </c>
      <c r="H327">
        <v>1837</v>
      </c>
      <c r="I327">
        <v>56</v>
      </c>
      <c r="J327">
        <v>12.6</v>
      </c>
      <c r="K327">
        <v>461</v>
      </c>
      <c r="L327">
        <v>0.9604166666666667</v>
      </c>
      <c r="M327">
        <v>0.86232104121475051</v>
      </c>
      <c r="N327">
        <v>0.97041732699418914</v>
      </c>
      <c r="O327">
        <v>0.8036875</v>
      </c>
    </row>
    <row r="328" spans="1:15" x14ac:dyDescent="0.3">
      <c r="A328">
        <v>327</v>
      </c>
      <c r="B328" s="1">
        <v>45685</v>
      </c>
      <c r="C328" t="s">
        <v>15</v>
      </c>
      <c r="D328" t="s">
        <v>18</v>
      </c>
      <c r="E328">
        <v>480</v>
      </c>
      <c r="F328">
        <v>200</v>
      </c>
      <c r="G328">
        <v>1165</v>
      </c>
      <c r="H328">
        <v>1123</v>
      </c>
      <c r="I328">
        <v>42</v>
      </c>
      <c r="J328">
        <v>13.2</v>
      </c>
      <c r="K328">
        <v>280</v>
      </c>
      <c r="L328">
        <v>0.58333333333333337</v>
      </c>
      <c r="M328">
        <v>0.91535714285714287</v>
      </c>
      <c r="N328">
        <v>0.96394849785407721</v>
      </c>
      <c r="O328">
        <v>0.51470833333333343</v>
      </c>
    </row>
    <row r="329" spans="1:15" x14ac:dyDescent="0.3">
      <c r="A329">
        <v>328</v>
      </c>
      <c r="B329" s="1">
        <v>45685</v>
      </c>
      <c r="C329" t="s">
        <v>15</v>
      </c>
      <c r="D329" t="s">
        <v>19</v>
      </c>
      <c r="E329">
        <v>480</v>
      </c>
      <c r="F329">
        <v>5</v>
      </c>
      <c r="G329">
        <v>1926</v>
      </c>
      <c r="H329">
        <v>1881</v>
      </c>
      <c r="I329">
        <v>45</v>
      </c>
      <c r="J329">
        <v>13.8</v>
      </c>
      <c r="K329">
        <v>475</v>
      </c>
      <c r="L329">
        <v>0.98958333333333337</v>
      </c>
      <c r="M329">
        <v>0.93258947368421063</v>
      </c>
      <c r="N329">
        <v>0.97663551401869164</v>
      </c>
      <c r="O329">
        <v>0.90131250000000018</v>
      </c>
    </row>
    <row r="330" spans="1:15" x14ac:dyDescent="0.3">
      <c r="A330">
        <v>329</v>
      </c>
      <c r="B330" s="1">
        <v>45685</v>
      </c>
      <c r="C330" t="s">
        <v>20</v>
      </c>
      <c r="D330" t="s">
        <v>16</v>
      </c>
      <c r="E330">
        <v>480</v>
      </c>
      <c r="F330">
        <v>118</v>
      </c>
      <c r="G330">
        <v>1602</v>
      </c>
      <c r="H330">
        <v>1556</v>
      </c>
      <c r="I330">
        <v>46</v>
      </c>
      <c r="J330">
        <v>12</v>
      </c>
      <c r="K330">
        <v>362</v>
      </c>
      <c r="L330">
        <v>0.75416666666666665</v>
      </c>
      <c r="M330">
        <v>0.88508287292817678</v>
      </c>
      <c r="N330">
        <v>0.97128589263420728</v>
      </c>
      <c r="O330">
        <v>0.64833333333333332</v>
      </c>
    </row>
    <row r="331" spans="1:15" x14ac:dyDescent="0.3">
      <c r="A331">
        <v>330</v>
      </c>
      <c r="B331" s="1">
        <v>45685</v>
      </c>
      <c r="C331" t="s">
        <v>20</v>
      </c>
      <c r="D331" t="s">
        <v>17</v>
      </c>
      <c r="E331">
        <v>480</v>
      </c>
      <c r="F331">
        <v>7</v>
      </c>
      <c r="G331">
        <v>1954</v>
      </c>
      <c r="H331">
        <v>1887</v>
      </c>
      <c r="I331">
        <v>67</v>
      </c>
      <c r="J331">
        <v>12.6</v>
      </c>
      <c r="K331">
        <v>473</v>
      </c>
      <c r="L331">
        <v>0.98541666666666672</v>
      </c>
      <c r="M331">
        <v>0.86752642706131067</v>
      </c>
      <c r="N331">
        <v>0.96571136131013302</v>
      </c>
      <c r="O331">
        <v>0.82556249999999987</v>
      </c>
    </row>
    <row r="332" spans="1:15" x14ac:dyDescent="0.3">
      <c r="A332">
        <v>331</v>
      </c>
      <c r="B332" s="1">
        <v>45685</v>
      </c>
      <c r="C332" t="s">
        <v>20</v>
      </c>
      <c r="D332" t="s">
        <v>18</v>
      </c>
      <c r="E332">
        <v>480</v>
      </c>
      <c r="F332">
        <v>88</v>
      </c>
      <c r="G332">
        <v>1686</v>
      </c>
      <c r="H332">
        <v>1633</v>
      </c>
      <c r="I332">
        <v>53</v>
      </c>
      <c r="J332">
        <v>13.2</v>
      </c>
      <c r="K332">
        <v>392</v>
      </c>
      <c r="L332">
        <v>0.81666666666666665</v>
      </c>
      <c r="M332">
        <v>0.94622448979591822</v>
      </c>
      <c r="N332">
        <v>0.96856465005931203</v>
      </c>
      <c r="O332">
        <v>0.74845833333333323</v>
      </c>
    </row>
    <row r="333" spans="1:15" x14ac:dyDescent="0.3">
      <c r="A333">
        <v>332</v>
      </c>
      <c r="B333" s="1">
        <v>45685</v>
      </c>
      <c r="C333" t="s">
        <v>20</v>
      </c>
      <c r="D333" t="s">
        <v>19</v>
      </c>
      <c r="E333">
        <v>480</v>
      </c>
      <c r="F333">
        <v>33</v>
      </c>
      <c r="G333">
        <v>1871</v>
      </c>
      <c r="H333">
        <v>1851</v>
      </c>
      <c r="I333">
        <v>20</v>
      </c>
      <c r="J333">
        <v>13.8</v>
      </c>
      <c r="K333">
        <v>447</v>
      </c>
      <c r="L333">
        <v>0.93125000000000002</v>
      </c>
      <c r="M333">
        <v>0.96270693512304262</v>
      </c>
      <c r="N333">
        <v>0.98931052912880812</v>
      </c>
      <c r="O333">
        <v>0.88693750000000005</v>
      </c>
    </row>
    <row r="334" spans="1:15" x14ac:dyDescent="0.3">
      <c r="A334">
        <v>333</v>
      </c>
      <c r="B334" s="1">
        <v>45685</v>
      </c>
      <c r="C334" t="s">
        <v>21</v>
      </c>
      <c r="D334" t="s">
        <v>16</v>
      </c>
      <c r="E334">
        <v>480</v>
      </c>
      <c r="F334">
        <v>58</v>
      </c>
      <c r="G334">
        <v>2047</v>
      </c>
      <c r="H334">
        <v>2026</v>
      </c>
      <c r="I334">
        <v>21</v>
      </c>
      <c r="J334">
        <v>12</v>
      </c>
      <c r="K334">
        <v>422</v>
      </c>
      <c r="L334">
        <v>0.87916666666666665</v>
      </c>
      <c r="M334">
        <v>0.9701421800947867</v>
      </c>
      <c r="N334">
        <v>0.98974108451392284</v>
      </c>
      <c r="O334">
        <v>0.84416666666666673</v>
      </c>
    </row>
    <row r="335" spans="1:15" x14ac:dyDescent="0.3">
      <c r="A335">
        <v>334</v>
      </c>
      <c r="B335" s="1">
        <v>45685</v>
      </c>
      <c r="C335" t="s">
        <v>21</v>
      </c>
      <c r="D335" t="s">
        <v>17</v>
      </c>
      <c r="E335">
        <v>480</v>
      </c>
      <c r="F335">
        <v>143</v>
      </c>
      <c r="G335">
        <v>1487</v>
      </c>
      <c r="H335">
        <v>1424</v>
      </c>
      <c r="I335">
        <v>63</v>
      </c>
      <c r="J335">
        <v>12.6</v>
      </c>
      <c r="K335">
        <v>337</v>
      </c>
      <c r="L335">
        <v>0.70208333333333328</v>
      </c>
      <c r="M335">
        <v>0.92661721068249259</v>
      </c>
      <c r="N335">
        <v>0.95763281775386688</v>
      </c>
      <c r="O335">
        <v>0.623</v>
      </c>
    </row>
    <row r="336" spans="1:15" x14ac:dyDescent="0.3">
      <c r="A336">
        <v>335</v>
      </c>
      <c r="B336" s="1">
        <v>45685</v>
      </c>
      <c r="C336" t="s">
        <v>21</v>
      </c>
      <c r="D336" t="s">
        <v>18</v>
      </c>
      <c r="E336">
        <v>480</v>
      </c>
      <c r="F336">
        <v>34</v>
      </c>
      <c r="G336">
        <v>1572</v>
      </c>
      <c r="H336">
        <v>1493</v>
      </c>
      <c r="I336">
        <v>79</v>
      </c>
      <c r="J336">
        <v>13.2</v>
      </c>
      <c r="K336">
        <v>446</v>
      </c>
      <c r="L336">
        <v>0.9291666666666667</v>
      </c>
      <c r="M336">
        <v>0.7754260089686098</v>
      </c>
      <c r="N336">
        <v>0.94974554707379133</v>
      </c>
      <c r="O336">
        <v>0.68429166666666652</v>
      </c>
    </row>
    <row r="337" spans="1:15" x14ac:dyDescent="0.3">
      <c r="A337">
        <v>336</v>
      </c>
      <c r="B337" s="1">
        <v>45685</v>
      </c>
      <c r="C337" t="s">
        <v>21</v>
      </c>
      <c r="D337" t="s">
        <v>19</v>
      </c>
      <c r="E337">
        <v>480</v>
      </c>
      <c r="F337">
        <v>44</v>
      </c>
      <c r="G337">
        <v>1552</v>
      </c>
      <c r="H337">
        <v>1531</v>
      </c>
      <c r="I337">
        <v>21</v>
      </c>
      <c r="J337">
        <v>13.8</v>
      </c>
      <c r="K337">
        <v>436</v>
      </c>
      <c r="L337">
        <v>0.90833333333333333</v>
      </c>
      <c r="M337">
        <v>0.81871559633027535</v>
      </c>
      <c r="N337">
        <v>0.9864690721649485</v>
      </c>
      <c r="O337">
        <v>0.73360416666666683</v>
      </c>
    </row>
    <row r="338" spans="1:15" x14ac:dyDescent="0.3">
      <c r="A338">
        <v>337</v>
      </c>
      <c r="B338" s="1">
        <v>45686</v>
      </c>
      <c r="C338" t="s">
        <v>15</v>
      </c>
      <c r="D338" t="s">
        <v>16</v>
      </c>
      <c r="E338">
        <v>480</v>
      </c>
      <c r="F338">
        <v>107</v>
      </c>
      <c r="G338">
        <v>1797</v>
      </c>
      <c r="H338">
        <v>1743</v>
      </c>
      <c r="I338">
        <v>54</v>
      </c>
      <c r="J338">
        <v>12</v>
      </c>
      <c r="K338">
        <v>373</v>
      </c>
      <c r="L338">
        <v>0.77708333333333335</v>
      </c>
      <c r="M338">
        <v>0.96353887399463811</v>
      </c>
      <c r="N338">
        <v>0.96994991652754592</v>
      </c>
      <c r="O338">
        <v>0.72625000000000006</v>
      </c>
    </row>
    <row r="339" spans="1:15" x14ac:dyDescent="0.3">
      <c r="A339">
        <v>338</v>
      </c>
      <c r="B339" s="1">
        <v>45686</v>
      </c>
      <c r="C339" t="s">
        <v>15</v>
      </c>
      <c r="D339" t="s">
        <v>17</v>
      </c>
      <c r="E339">
        <v>480</v>
      </c>
      <c r="F339">
        <v>101</v>
      </c>
      <c r="G339">
        <v>1502</v>
      </c>
      <c r="H339">
        <v>1439</v>
      </c>
      <c r="I339">
        <v>63</v>
      </c>
      <c r="J339">
        <v>12.6</v>
      </c>
      <c r="K339">
        <v>379</v>
      </c>
      <c r="L339">
        <v>0.7895833333333333</v>
      </c>
      <c r="M339">
        <v>0.83224274406332455</v>
      </c>
      <c r="N339">
        <v>0.95805592543275631</v>
      </c>
      <c r="O339">
        <v>0.62956249999999991</v>
      </c>
    </row>
    <row r="340" spans="1:15" x14ac:dyDescent="0.3">
      <c r="A340">
        <v>339</v>
      </c>
      <c r="B340" s="1">
        <v>45686</v>
      </c>
      <c r="C340" t="s">
        <v>15</v>
      </c>
      <c r="D340" t="s">
        <v>18</v>
      </c>
      <c r="E340">
        <v>480</v>
      </c>
      <c r="F340">
        <v>0</v>
      </c>
      <c r="G340">
        <v>2082</v>
      </c>
      <c r="H340">
        <v>2009</v>
      </c>
      <c r="I340">
        <v>73</v>
      </c>
      <c r="J340">
        <v>13.2</v>
      </c>
      <c r="K340">
        <v>480</v>
      </c>
      <c r="L340">
        <v>1</v>
      </c>
      <c r="M340">
        <v>0.95424999999999993</v>
      </c>
      <c r="N340">
        <v>0.96493756003842457</v>
      </c>
      <c r="O340">
        <v>0.92079166666666656</v>
      </c>
    </row>
    <row r="341" spans="1:15" x14ac:dyDescent="0.3">
      <c r="A341">
        <v>340</v>
      </c>
      <c r="B341" s="1">
        <v>45686</v>
      </c>
      <c r="C341" t="s">
        <v>15</v>
      </c>
      <c r="D341" t="s">
        <v>19</v>
      </c>
      <c r="E341">
        <v>480</v>
      </c>
      <c r="F341">
        <v>107</v>
      </c>
      <c r="G341">
        <v>1523</v>
      </c>
      <c r="H341">
        <v>1447</v>
      </c>
      <c r="I341">
        <v>76</v>
      </c>
      <c r="J341">
        <v>13.8</v>
      </c>
      <c r="K341">
        <v>373</v>
      </c>
      <c r="L341">
        <v>0.77708333333333335</v>
      </c>
      <c r="M341">
        <v>0.93911528150134049</v>
      </c>
      <c r="N341">
        <v>0.95009848982271827</v>
      </c>
      <c r="O341">
        <v>0.69335416666666672</v>
      </c>
    </row>
    <row r="342" spans="1:15" x14ac:dyDescent="0.3">
      <c r="A342">
        <v>341</v>
      </c>
      <c r="B342" s="1">
        <v>45686</v>
      </c>
      <c r="C342" t="s">
        <v>20</v>
      </c>
      <c r="D342" t="s">
        <v>16</v>
      </c>
      <c r="E342">
        <v>480</v>
      </c>
      <c r="F342">
        <v>11</v>
      </c>
      <c r="G342">
        <v>1830</v>
      </c>
      <c r="H342">
        <v>1755</v>
      </c>
      <c r="I342">
        <v>75</v>
      </c>
      <c r="J342">
        <v>12</v>
      </c>
      <c r="K342">
        <v>469</v>
      </c>
      <c r="L342">
        <v>0.9770833333333333</v>
      </c>
      <c r="M342">
        <v>0.78038379530916846</v>
      </c>
      <c r="N342">
        <v>0.95901639344262291</v>
      </c>
      <c r="O342">
        <v>0.73124999999999996</v>
      </c>
    </row>
    <row r="343" spans="1:15" x14ac:dyDescent="0.3">
      <c r="A343">
        <v>342</v>
      </c>
      <c r="B343" s="1">
        <v>45686</v>
      </c>
      <c r="C343" t="s">
        <v>20</v>
      </c>
      <c r="D343" t="s">
        <v>17</v>
      </c>
      <c r="E343">
        <v>480</v>
      </c>
      <c r="F343">
        <v>0</v>
      </c>
      <c r="G343">
        <v>2107</v>
      </c>
      <c r="H343">
        <v>2053</v>
      </c>
      <c r="I343">
        <v>54</v>
      </c>
      <c r="J343">
        <v>12.6</v>
      </c>
      <c r="K343">
        <v>480</v>
      </c>
      <c r="L343">
        <v>1</v>
      </c>
      <c r="M343">
        <v>0.92181250000000003</v>
      </c>
      <c r="N343">
        <v>0.97437114380635981</v>
      </c>
      <c r="O343">
        <v>0.89818750000000014</v>
      </c>
    </row>
    <row r="344" spans="1:15" x14ac:dyDescent="0.3">
      <c r="A344">
        <v>343</v>
      </c>
      <c r="B344" s="1">
        <v>45686</v>
      </c>
      <c r="C344" t="s">
        <v>20</v>
      </c>
      <c r="D344" t="s">
        <v>18</v>
      </c>
      <c r="E344">
        <v>480</v>
      </c>
      <c r="F344">
        <v>0</v>
      </c>
      <c r="G344">
        <v>1892</v>
      </c>
      <c r="H344">
        <v>1869</v>
      </c>
      <c r="I344">
        <v>23</v>
      </c>
      <c r="J344">
        <v>13.2</v>
      </c>
      <c r="K344">
        <v>480</v>
      </c>
      <c r="L344">
        <v>1</v>
      </c>
      <c r="M344">
        <v>0.86716666666666664</v>
      </c>
      <c r="N344">
        <v>0.9878435517970402</v>
      </c>
      <c r="O344">
        <v>0.85662499999999997</v>
      </c>
    </row>
    <row r="345" spans="1:15" x14ac:dyDescent="0.3">
      <c r="A345">
        <v>344</v>
      </c>
      <c r="B345" s="1">
        <v>45686</v>
      </c>
      <c r="C345" t="s">
        <v>20</v>
      </c>
      <c r="D345" t="s">
        <v>19</v>
      </c>
      <c r="E345">
        <v>480</v>
      </c>
      <c r="F345">
        <v>82</v>
      </c>
      <c r="G345">
        <v>1299</v>
      </c>
      <c r="H345">
        <v>1270</v>
      </c>
      <c r="I345">
        <v>29</v>
      </c>
      <c r="J345">
        <v>13.8</v>
      </c>
      <c r="K345">
        <v>398</v>
      </c>
      <c r="L345">
        <v>0.82916666666666672</v>
      </c>
      <c r="M345">
        <v>0.75067839195979902</v>
      </c>
      <c r="N345">
        <v>0.97767513471901457</v>
      </c>
      <c r="O345">
        <v>0.60854166666666676</v>
      </c>
    </row>
    <row r="346" spans="1:15" x14ac:dyDescent="0.3">
      <c r="A346">
        <v>345</v>
      </c>
      <c r="B346" s="1">
        <v>45686</v>
      </c>
      <c r="C346" t="s">
        <v>21</v>
      </c>
      <c r="D346" t="s">
        <v>16</v>
      </c>
      <c r="E346">
        <v>480</v>
      </c>
      <c r="F346">
        <v>11</v>
      </c>
      <c r="G346">
        <v>2184</v>
      </c>
      <c r="H346">
        <v>2065</v>
      </c>
      <c r="I346">
        <v>119</v>
      </c>
      <c r="J346">
        <v>12</v>
      </c>
      <c r="K346">
        <v>469</v>
      </c>
      <c r="L346">
        <v>0.9770833333333333</v>
      </c>
      <c r="M346">
        <v>0.93134328358208951</v>
      </c>
      <c r="N346">
        <v>0.94551282051282048</v>
      </c>
      <c r="O346">
        <v>0.86041666666666661</v>
      </c>
    </row>
    <row r="347" spans="1:15" x14ac:dyDescent="0.3">
      <c r="A347">
        <v>346</v>
      </c>
      <c r="B347" s="1">
        <v>45686</v>
      </c>
      <c r="C347" t="s">
        <v>21</v>
      </c>
      <c r="D347" t="s">
        <v>17</v>
      </c>
      <c r="E347">
        <v>480</v>
      </c>
      <c r="F347">
        <v>25</v>
      </c>
      <c r="G347">
        <v>1818</v>
      </c>
      <c r="H347">
        <v>1743</v>
      </c>
      <c r="I347">
        <v>75</v>
      </c>
      <c r="J347">
        <v>12.6</v>
      </c>
      <c r="K347">
        <v>455</v>
      </c>
      <c r="L347">
        <v>0.94791666666666663</v>
      </c>
      <c r="M347">
        <v>0.83907692307692305</v>
      </c>
      <c r="N347">
        <v>0.95874587458745875</v>
      </c>
      <c r="O347">
        <v>0.76256249999999992</v>
      </c>
    </row>
    <row r="348" spans="1:15" x14ac:dyDescent="0.3">
      <c r="A348">
        <v>347</v>
      </c>
      <c r="B348" s="1">
        <v>45686</v>
      </c>
      <c r="C348" t="s">
        <v>21</v>
      </c>
      <c r="D348" t="s">
        <v>18</v>
      </c>
      <c r="E348">
        <v>480</v>
      </c>
      <c r="F348">
        <v>56</v>
      </c>
      <c r="G348">
        <v>1740</v>
      </c>
      <c r="H348">
        <v>1639</v>
      </c>
      <c r="I348">
        <v>101</v>
      </c>
      <c r="J348">
        <v>13.2</v>
      </c>
      <c r="K348">
        <v>424</v>
      </c>
      <c r="L348">
        <v>0.8833333333333333</v>
      </c>
      <c r="M348">
        <v>0.90283018867924525</v>
      </c>
      <c r="N348">
        <v>0.94195402298850572</v>
      </c>
      <c r="O348">
        <v>0.75120833333333326</v>
      </c>
    </row>
    <row r="349" spans="1:15" x14ac:dyDescent="0.3">
      <c r="A349">
        <v>348</v>
      </c>
      <c r="B349" s="1">
        <v>45686</v>
      </c>
      <c r="C349" t="s">
        <v>21</v>
      </c>
      <c r="D349" t="s">
        <v>19</v>
      </c>
      <c r="E349">
        <v>480</v>
      </c>
      <c r="F349">
        <v>135</v>
      </c>
      <c r="G349">
        <v>1297</v>
      </c>
      <c r="H349">
        <v>1256</v>
      </c>
      <c r="I349">
        <v>41</v>
      </c>
      <c r="J349">
        <v>13.8</v>
      </c>
      <c r="K349">
        <v>345</v>
      </c>
      <c r="L349">
        <v>0.71875</v>
      </c>
      <c r="M349">
        <v>0.86466666666666681</v>
      </c>
      <c r="N349">
        <v>0.9683885890516577</v>
      </c>
      <c r="O349">
        <v>0.60183333333333344</v>
      </c>
    </row>
    <row r="350" spans="1:15" x14ac:dyDescent="0.3">
      <c r="A350">
        <v>349</v>
      </c>
      <c r="B350" s="1">
        <v>45687</v>
      </c>
      <c r="C350" t="s">
        <v>15</v>
      </c>
      <c r="D350" t="s">
        <v>16</v>
      </c>
      <c r="E350">
        <v>480</v>
      </c>
      <c r="F350">
        <v>9</v>
      </c>
      <c r="G350">
        <v>1794</v>
      </c>
      <c r="H350">
        <v>1708</v>
      </c>
      <c r="I350">
        <v>86</v>
      </c>
      <c r="J350">
        <v>12</v>
      </c>
      <c r="K350">
        <v>471</v>
      </c>
      <c r="L350">
        <v>0.98124999999999996</v>
      </c>
      <c r="M350">
        <v>0.76178343949044591</v>
      </c>
      <c r="N350">
        <v>0.95206243032329985</v>
      </c>
      <c r="O350">
        <v>0.71166666666666667</v>
      </c>
    </row>
    <row r="351" spans="1:15" x14ac:dyDescent="0.3">
      <c r="A351">
        <v>350</v>
      </c>
      <c r="B351" s="1">
        <v>45687</v>
      </c>
      <c r="C351" t="s">
        <v>15</v>
      </c>
      <c r="D351" t="s">
        <v>17</v>
      </c>
      <c r="E351">
        <v>480</v>
      </c>
      <c r="F351">
        <v>53</v>
      </c>
      <c r="G351">
        <v>1663</v>
      </c>
      <c r="H351">
        <v>1636</v>
      </c>
      <c r="I351">
        <v>27</v>
      </c>
      <c r="J351">
        <v>12.6</v>
      </c>
      <c r="K351">
        <v>427</v>
      </c>
      <c r="L351">
        <v>0.88958333333333328</v>
      </c>
      <c r="M351">
        <v>0.81786885245901642</v>
      </c>
      <c r="N351">
        <v>0.98376428141912209</v>
      </c>
      <c r="O351">
        <v>0.71575</v>
      </c>
    </row>
    <row r="352" spans="1:15" x14ac:dyDescent="0.3">
      <c r="A352">
        <v>351</v>
      </c>
      <c r="B352" s="1">
        <v>45687</v>
      </c>
      <c r="C352" t="s">
        <v>15</v>
      </c>
      <c r="D352" t="s">
        <v>18</v>
      </c>
      <c r="E352">
        <v>480</v>
      </c>
      <c r="F352">
        <v>21</v>
      </c>
      <c r="G352">
        <v>1991</v>
      </c>
      <c r="H352">
        <v>1943</v>
      </c>
      <c r="I352">
        <v>48</v>
      </c>
      <c r="J352">
        <v>13.2</v>
      </c>
      <c r="K352">
        <v>459</v>
      </c>
      <c r="L352">
        <v>0.95625000000000004</v>
      </c>
      <c r="M352">
        <v>0.95429193899782128</v>
      </c>
      <c r="N352">
        <v>0.97589151180311406</v>
      </c>
      <c r="O352">
        <v>0.89054166666666668</v>
      </c>
    </row>
    <row r="353" spans="1:15" x14ac:dyDescent="0.3">
      <c r="A353">
        <v>352</v>
      </c>
      <c r="B353" s="1">
        <v>45687</v>
      </c>
      <c r="C353" t="s">
        <v>15</v>
      </c>
      <c r="D353" t="s">
        <v>19</v>
      </c>
      <c r="E353">
        <v>480</v>
      </c>
      <c r="F353">
        <v>32</v>
      </c>
      <c r="G353">
        <v>1580</v>
      </c>
      <c r="H353">
        <v>1499</v>
      </c>
      <c r="I353">
        <v>81</v>
      </c>
      <c r="J353">
        <v>13.8</v>
      </c>
      <c r="K353">
        <v>448</v>
      </c>
      <c r="L353">
        <v>0.93333333333333335</v>
      </c>
      <c r="M353">
        <v>0.81116071428571423</v>
      </c>
      <c r="N353">
        <v>0.94873417721518982</v>
      </c>
      <c r="O353">
        <v>0.7182708333333333</v>
      </c>
    </row>
    <row r="354" spans="1:15" x14ac:dyDescent="0.3">
      <c r="A354">
        <v>353</v>
      </c>
      <c r="B354" s="1">
        <v>45687</v>
      </c>
      <c r="C354" t="s">
        <v>20</v>
      </c>
      <c r="D354" t="s">
        <v>16</v>
      </c>
      <c r="E354">
        <v>480</v>
      </c>
      <c r="F354">
        <v>0</v>
      </c>
      <c r="G354">
        <v>2009</v>
      </c>
      <c r="H354">
        <v>1956</v>
      </c>
      <c r="I354">
        <v>53</v>
      </c>
      <c r="J354">
        <v>12</v>
      </c>
      <c r="K354">
        <v>480</v>
      </c>
      <c r="L354">
        <v>1</v>
      </c>
      <c r="M354">
        <v>0.83708333333333329</v>
      </c>
      <c r="N354">
        <v>0.9736187157789945</v>
      </c>
      <c r="O354">
        <v>0.81499999999999995</v>
      </c>
    </row>
    <row r="355" spans="1:15" x14ac:dyDescent="0.3">
      <c r="A355">
        <v>354</v>
      </c>
      <c r="B355" s="1">
        <v>45687</v>
      </c>
      <c r="C355" t="s">
        <v>20</v>
      </c>
      <c r="D355" t="s">
        <v>17</v>
      </c>
      <c r="E355">
        <v>480</v>
      </c>
      <c r="F355">
        <v>0</v>
      </c>
      <c r="G355">
        <v>1779</v>
      </c>
      <c r="H355">
        <v>1725</v>
      </c>
      <c r="I355">
        <v>54</v>
      </c>
      <c r="J355">
        <v>12.6</v>
      </c>
      <c r="K355">
        <v>480</v>
      </c>
      <c r="L355">
        <v>1</v>
      </c>
      <c r="M355">
        <v>0.77831249999999996</v>
      </c>
      <c r="N355">
        <v>0.96964586846542999</v>
      </c>
      <c r="O355">
        <v>0.75468749999999996</v>
      </c>
    </row>
    <row r="356" spans="1:15" x14ac:dyDescent="0.3">
      <c r="A356">
        <v>355</v>
      </c>
      <c r="B356" s="1">
        <v>45687</v>
      </c>
      <c r="C356" t="s">
        <v>20</v>
      </c>
      <c r="D356" t="s">
        <v>18</v>
      </c>
      <c r="E356">
        <v>480</v>
      </c>
      <c r="F356">
        <v>18</v>
      </c>
      <c r="G356">
        <v>1579</v>
      </c>
      <c r="H356">
        <v>1527</v>
      </c>
      <c r="I356">
        <v>52</v>
      </c>
      <c r="J356">
        <v>13.2</v>
      </c>
      <c r="K356">
        <v>462</v>
      </c>
      <c r="L356">
        <v>0.96250000000000002</v>
      </c>
      <c r="M356">
        <v>0.75190476190476185</v>
      </c>
      <c r="N356">
        <v>0.96706776440785303</v>
      </c>
      <c r="O356">
        <v>0.69987499999999991</v>
      </c>
    </row>
    <row r="357" spans="1:15" x14ac:dyDescent="0.3">
      <c r="A357">
        <v>356</v>
      </c>
      <c r="B357" s="1">
        <v>45687</v>
      </c>
      <c r="C357" t="s">
        <v>20</v>
      </c>
      <c r="D357" t="s">
        <v>19</v>
      </c>
      <c r="E357">
        <v>480</v>
      </c>
      <c r="F357">
        <v>101</v>
      </c>
      <c r="G357">
        <v>1527</v>
      </c>
      <c r="H357">
        <v>1451</v>
      </c>
      <c r="I357">
        <v>76</v>
      </c>
      <c r="J357">
        <v>13.8</v>
      </c>
      <c r="K357">
        <v>379</v>
      </c>
      <c r="L357">
        <v>0.7895833333333333</v>
      </c>
      <c r="M357">
        <v>0.9266754617414249</v>
      </c>
      <c r="N357">
        <v>0.95022920759659468</v>
      </c>
      <c r="O357">
        <v>0.69527083333333339</v>
      </c>
    </row>
    <row r="358" spans="1:15" x14ac:dyDescent="0.3">
      <c r="A358">
        <v>357</v>
      </c>
      <c r="B358" s="1">
        <v>45687</v>
      </c>
      <c r="C358" t="s">
        <v>21</v>
      </c>
      <c r="D358" t="s">
        <v>16</v>
      </c>
      <c r="E358">
        <v>480</v>
      </c>
      <c r="F358">
        <v>0</v>
      </c>
      <c r="G358">
        <v>1946</v>
      </c>
      <c r="H358">
        <v>1925</v>
      </c>
      <c r="I358">
        <v>21</v>
      </c>
      <c r="J358">
        <v>12</v>
      </c>
      <c r="K358">
        <v>480</v>
      </c>
      <c r="L358">
        <v>1</v>
      </c>
      <c r="M358">
        <v>0.81083333333333329</v>
      </c>
      <c r="N358">
        <v>0.98920863309352514</v>
      </c>
      <c r="O358">
        <v>0.80208333333333326</v>
      </c>
    </row>
    <row r="359" spans="1:15" x14ac:dyDescent="0.3">
      <c r="A359">
        <v>358</v>
      </c>
      <c r="B359" s="1">
        <v>45687</v>
      </c>
      <c r="C359" t="s">
        <v>21</v>
      </c>
      <c r="D359" t="s">
        <v>17</v>
      </c>
      <c r="E359">
        <v>480</v>
      </c>
      <c r="F359">
        <v>36</v>
      </c>
      <c r="G359">
        <v>1900</v>
      </c>
      <c r="H359">
        <v>1789</v>
      </c>
      <c r="I359">
        <v>111</v>
      </c>
      <c r="J359">
        <v>12.6</v>
      </c>
      <c r="K359">
        <v>444</v>
      </c>
      <c r="L359">
        <v>0.92500000000000004</v>
      </c>
      <c r="M359">
        <v>0.89864864864864868</v>
      </c>
      <c r="N359">
        <v>0.94157894736842107</v>
      </c>
      <c r="O359">
        <v>0.78268750000000009</v>
      </c>
    </row>
    <row r="360" spans="1:15" x14ac:dyDescent="0.3">
      <c r="A360">
        <v>359</v>
      </c>
      <c r="B360" s="1">
        <v>45687</v>
      </c>
      <c r="C360" t="s">
        <v>21</v>
      </c>
      <c r="D360" t="s">
        <v>18</v>
      </c>
      <c r="E360">
        <v>480</v>
      </c>
      <c r="F360">
        <v>38</v>
      </c>
      <c r="G360">
        <v>1867</v>
      </c>
      <c r="H360">
        <v>1806</v>
      </c>
      <c r="I360">
        <v>61</v>
      </c>
      <c r="J360">
        <v>13.2</v>
      </c>
      <c r="K360">
        <v>442</v>
      </c>
      <c r="L360">
        <v>0.92083333333333328</v>
      </c>
      <c r="M360">
        <v>0.92927601809954741</v>
      </c>
      <c r="N360">
        <v>0.96732726298875205</v>
      </c>
      <c r="O360">
        <v>0.82774999999999987</v>
      </c>
    </row>
    <row r="361" spans="1:15" x14ac:dyDescent="0.3">
      <c r="A361">
        <v>360</v>
      </c>
      <c r="B361" s="1">
        <v>45687</v>
      </c>
      <c r="C361" t="s">
        <v>21</v>
      </c>
      <c r="D361" t="s">
        <v>19</v>
      </c>
      <c r="E361">
        <v>480</v>
      </c>
      <c r="F361">
        <v>11</v>
      </c>
      <c r="G361">
        <v>1645</v>
      </c>
      <c r="H361">
        <v>1589</v>
      </c>
      <c r="I361">
        <v>56</v>
      </c>
      <c r="J361">
        <v>13.8</v>
      </c>
      <c r="K361">
        <v>469</v>
      </c>
      <c r="L361">
        <v>0.9770833333333333</v>
      </c>
      <c r="M361">
        <v>0.80671641791044779</v>
      </c>
      <c r="N361">
        <v>0.96595744680851059</v>
      </c>
      <c r="O361">
        <v>0.76139583333333327</v>
      </c>
    </row>
    <row r="362" spans="1:15" x14ac:dyDescent="0.3">
      <c r="A362">
        <v>361</v>
      </c>
      <c r="B362" s="1">
        <v>45688</v>
      </c>
      <c r="C362" t="s">
        <v>15</v>
      </c>
      <c r="D362" t="s">
        <v>16</v>
      </c>
      <c r="E362">
        <v>480</v>
      </c>
      <c r="F362">
        <v>242</v>
      </c>
      <c r="G362">
        <v>1041</v>
      </c>
      <c r="H362">
        <v>981</v>
      </c>
      <c r="I362">
        <v>60</v>
      </c>
      <c r="J362">
        <v>12</v>
      </c>
      <c r="K362">
        <v>238</v>
      </c>
      <c r="L362">
        <v>0.49583333333333335</v>
      </c>
      <c r="M362">
        <v>0.87478991596638656</v>
      </c>
      <c r="N362">
        <v>0.94236311239193082</v>
      </c>
      <c r="O362">
        <v>0.40875</v>
      </c>
    </row>
    <row r="363" spans="1:15" x14ac:dyDescent="0.3">
      <c r="A363">
        <v>362</v>
      </c>
      <c r="B363" s="1">
        <v>45688</v>
      </c>
      <c r="C363" t="s">
        <v>15</v>
      </c>
      <c r="D363" t="s">
        <v>17</v>
      </c>
      <c r="E363">
        <v>480</v>
      </c>
      <c r="F363">
        <v>0</v>
      </c>
      <c r="G363">
        <v>1906</v>
      </c>
      <c r="H363">
        <v>1866</v>
      </c>
      <c r="I363">
        <v>40</v>
      </c>
      <c r="J363">
        <v>12.6</v>
      </c>
      <c r="K363">
        <v>480</v>
      </c>
      <c r="L363">
        <v>1</v>
      </c>
      <c r="M363">
        <v>0.83387499999999992</v>
      </c>
      <c r="N363">
        <v>0.97901364113326339</v>
      </c>
      <c r="O363">
        <v>0.81637499999999996</v>
      </c>
    </row>
    <row r="364" spans="1:15" x14ac:dyDescent="0.3">
      <c r="A364">
        <v>363</v>
      </c>
      <c r="B364" s="1">
        <v>45688</v>
      </c>
      <c r="C364" t="s">
        <v>15</v>
      </c>
      <c r="D364" t="s">
        <v>18</v>
      </c>
      <c r="E364">
        <v>480</v>
      </c>
      <c r="F364">
        <v>0</v>
      </c>
      <c r="G364">
        <v>1707</v>
      </c>
      <c r="H364">
        <v>1637</v>
      </c>
      <c r="I364">
        <v>70</v>
      </c>
      <c r="J364">
        <v>13.2</v>
      </c>
      <c r="K364">
        <v>480</v>
      </c>
      <c r="L364">
        <v>1</v>
      </c>
      <c r="M364">
        <v>0.78237499999999993</v>
      </c>
      <c r="N364">
        <v>0.95899238429994138</v>
      </c>
      <c r="O364">
        <v>0.75029166666666658</v>
      </c>
    </row>
    <row r="365" spans="1:15" x14ac:dyDescent="0.3">
      <c r="A365">
        <v>364</v>
      </c>
      <c r="B365" s="1">
        <v>45688</v>
      </c>
      <c r="C365" t="s">
        <v>15</v>
      </c>
      <c r="D365" t="s">
        <v>19</v>
      </c>
      <c r="E365">
        <v>480</v>
      </c>
      <c r="F365">
        <v>37</v>
      </c>
      <c r="G365">
        <v>1559</v>
      </c>
      <c r="H365">
        <v>1517</v>
      </c>
      <c r="I365">
        <v>42</v>
      </c>
      <c r="J365">
        <v>13.8</v>
      </c>
      <c r="K365">
        <v>443</v>
      </c>
      <c r="L365">
        <v>0.92291666666666672</v>
      </c>
      <c r="M365">
        <v>0.80941309255079008</v>
      </c>
      <c r="N365">
        <v>0.97305965362411806</v>
      </c>
      <c r="O365">
        <v>0.72689583333333341</v>
      </c>
    </row>
    <row r="366" spans="1:15" x14ac:dyDescent="0.3">
      <c r="A366">
        <v>365</v>
      </c>
      <c r="B366" s="1">
        <v>45688</v>
      </c>
      <c r="C366" t="s">
        <v>20</v>
      </c>
      <c r="D366" t="s">
        <v>16</v>
      </c>
      <c r="E366">
        <v>480</v>
      </c>
      <c r="F366">
        <v>37</v>
      </c>
      <c r="G366">
        <v>1665</v>
      </c>
      <c r="H366">
        <v>1596</v>
      </c>
      <c r="I366">
        <v>69</v>
      </c>
      <c r="J366">
        <v>12</v>
      </c>
      <c r="K366">
        <v>443</v>
      </c>
      <c r="L366">
        <v>0.92291666666666672</v>
      </c>
      <c r="M366">
        <v>0.75169300225733637</v>
      </c>
      <c r="N366">
        <v>0.95855855855855854</v>
      </c>
      <c r="O366">
        <v>0.66500000000000004</v>
      </c>
    </row>
    <row r="367" spans="1:15" x14ac:dyDescent="0.3">
      <c r="A367">
        <v>366</v>
      </c>
      <c r="B367" s="1">
        <v>45688</v>
      </c>
      <c r="C367" t="s">
        <v>20</v>
      </c>
      <c r="D367" t="s">
        <v>17</v>
      </c>
      <c r="E367">
        <v>480</v>
      </c>
      <c r="F367">
        <v>45</v>
      </c>
      <c r="G367">
        <v>1668</v>
      </c>
      <c r="H367">
        <v>1610</v>
      </c>
      <c r="I367">
        <v>58</v>
      </c>
      <c r="J367">
        <v>12.6</v>
      </c>
      <c r="K367">
        <v>435</v>
      </c>
      <c r="L367">
        <v>0.90625</v>
      </c>
      <c r="M367">
        <v>0.80524137931034478</v>
      </c>
      <c r="N367">
        <v>0.96522781774580335</v>
      </c>
      <c r="O367">
        <v>0.70437499999999997</v>
      </c>
    </row>
    <row r="368" spans="1:15" x14ac:dyDescent="0.3">
      <c r="A368">
        <v>367</v>
      </c>
      <c r="B368" s="1">
        <v>45688</v>
      </c>
      <c r="C368" t="s">
        <v>20</v>
      </c>
      <c r="D368" t="s">
        <v>18</v>
      </c>
      <c r="E368">
        <v>480</v>
      </c>
      <c r="F368">
        <v>74</v>
      </c>
      <c r="G368">
        <v>1579</v>
      </c>
      <c r="H368">
        <v>1521</v>
      </c>
      <c r="I368">
        <v>58</v>
      </c>
      <c r="J368">
        <v>13.2</v>
      </c>
      <c r="K368">
        <v>406</v>
      </c>
      <c r="L368">
        <v>0.84583333333333333</v>
      </c>
      <c r="M368">
        <v>0.85561576354679802</v>
      </c>
      <c r="N368">
        <v>0.96326789107029764</v>
      </c>
      <c r="O368">
        <v>0.69712499999999999</v>
      </c>
    </row>
    <row r="369" spans="1:15" x14ac:dyDescent="0.3">
      <c r="A369">
        <v>368</v>
      </c>
      <c r="B369" s="1">
        <v>45688</v>
      </c>
      <c r="C369" t="s">
        <v>20</v>
      </c>
      <c r="D369" t="s">
        <v>19</v>
      </c>
      <c r="E369">
        <v>480</v>
      </c>
      <c r="F369">
        <v>26</v>
      </c>
      <c r="G369">
        <v>1575</v>
      </c>
      <c r="H369">
        <v>1556</v>
      </c>
      <c r="I369">
        <v>19</v>
      </c>
      <c r="J369">
        <v>13.8</v>
      </c>
      <c r="K369">
        <v>454</v>
      </c>
      <c r="L369">
        <v>0.9458333333333333</v>
      </c>
      <c r="M369">
        <v>0.7979074889867841</v>
      </c>
      <c r="N369">
        <v>0.98793650793650789</v>
      </c>
      <c r="O369">
        <v>0.74558333333333326</v>
      </c>
    </row>
    <row r="370" spans="1:15" x14ac:dyDescent="0.3">
      <c r="A370">
        <v>369</v>
      </c>
      <c r="B370" s="1">
        <v>45688</v>
      </c>
      <c r="C370" t="s">
        <v>21</v>
      </c>
      <c r="D370" t="s">
        <v>16</v>
      </c>
      <c r="E370">
        <v>480</v>
      </c>
      <c r="F370">
        <v>420</v>
      </c>
      <c r="G370">
        <v>255</v>
      </c>
      <c r="H370">
        <v>245</v>
      </c>
      <c r="I370">
        <v>10</v>
      </c>
      <c r="J370">
        <v>12</v>
      </c>
      <c r="K370">
        <v>60</v>
      </c>
      <c r="L370">
        <v>0.125</v>
      </c>
      <c r="M370">
        <v>0.85</v>
      </c>
      <c r="N370">
        <v>0.96078431372549022</v>
      </c>
      <c r="O370">
        <v>0.10208333333333333</v>
      </c>
    </row>
    <row r="371" spans="1:15" x14ac:dyDescent="0.3">
      <c r="A371">
        <v>370</v>
      </c>
      <c r="B371" s="1">
        <v>45688</v>
      </c>
      <c r="C371" t="s">
        <v>21</v>
      </c>
      <c r="D371" t="s">
        <v>17</v>
      </c>
      <c r="E371">
        <v>480</v>
      </c>
      <c r="F371">
        <v>0</v>
      </c>
      <c r="G371">
        <v>2041</v>
      </c>
      <c r="H371">
        <v>1921</v>
      </c>
      <c r="I371">
        <v>120</v>
      </c>
      <c r="J371">
        <v>12.6</v>
      </c>
      <c r="K371">
        <v>480</v>
      </c>
      <c r="L371">
        <v>1</v>
      </c>
      <c r="M371">
        <v>0.89293749999999994</v>
      </c>
      <c r="N371">
        <v>0.94120529152376287</v>
      </c>
      <c r="O371">
        <v>0.84043749999999995</v>
      </c>
    </row>
    <row r="372" spans="1:15" x14ac:dyDescent="0.3">
      <c r="A372">
        <v>371</v>
      </c>
      <c r="B372" s="1">
        <v>45688</v>
      </c>
      <c r="C372" t="s">
        <v>21</v>
      </c>
      <c r="D372" t="s">
        <v>18</v>
      </c>
      <c r="E372">
        <v>480</v>
      </c>
      <c r="F372">
        <v>0</v>
      </c>
      <c r="G372">
        <v>2034</v>
      </c>
      <c r="H372">
        <v>1922</v>
      </c>
      <c r="I372">
        <v>112</v>
      </c>
      <c r="J372">
        <v>13.2</v>
      </c>
      <c r="K372">
        <v>480</v>
      </c>
      <c r="L372">
        <v>1</v>
      </c>
      <c r="M372">
        <v>0.93225000000000002</v>
      </c>
      <c r="N372">
        <v>0.94493608652900685</v>
      </c>
      <c r="O372">
        <v>0.88091666666666668</v>
      </c>
    </row>
    <row r="373" spans="1:15" x14ac:dyDescent="0.3">
      <c r="A373">
        <v>372</v>
      </c>
      <c r="B373" s="1">
        <v>45688</v>
      </c>
      <c r="C373" t="s">
        <v>21</v>
      </c>
      <c r="D373" t="s">
        <v>19</v>
      </c>
      <c r="E373">
        <v>480</v>
      </c>
      <c r="F373">
        <v>110</v>
      </c>
      <c r="G373">
        <v>1209</v>
      </c>
      <c r="H373">
        <v>1176</v>
      </c>
      <c r="I373">
        <v>33</v>
      </c>
      <c r="J373">
        <v>13.8</v>
      </c>
      <c r="K373">
        <v>370</v>
      </c>
      <c r="L373">
        <v>0.77083333333333337</v>
      </c>
      <c r="M373">
        <v>0.75154054054054054</v>
      </c>
      <c r="N373">
        <v>0.97270471464019848</v>
      </c>
      <c r="O373">
        <v>0.5635</v>
      </c>
    </row>
    <row r="374" spans="1:15" x14ac:dyDescent="0.3">
      <c r="A374">
        <v>373</v>
      </c>
      <c r="B374" s="1">
        <v>45689</v>
      </c>
      <c r="C374" t="s">
        <v>15</v>
      </c>
      <c r="D374" t="s">
        <v>16</v>
      </c>
      <c r="E374">
        <v>480</v>
      </c>
      <c r="F374">
        <v>7</v>
      </c>
      <c r="G374">
        <v>1948</v>
      </c>
      <c r="H374">
        <v>1846</v>
      </c>
      <c r="I374">
        <v>102</v>
      </c>
      <c r="J374">
        <v>12</v>
      </c>
      <c r="K374">
        <v>473</v>
      </c>
      <c r="L374">
        <v>0.98541666666666672</v>
      </c>
      <c r="M374">
        <v>0.82367864693446091</v>
      </c>
      <c r="N374">
        <v>0.94763860369609854</v>
      </c>
      <c r="O374">
        <v>0.76916666666666678</v>
      </c>
    </row>
    <row r="375" spans="1:15" x14ac:dyDescent="0.3">
      <c r="A375">
        <v>374</v>
      </c>
      <c r="B375" s="1">
        <v>45689</v>
      </c>
      <c r="C375" t="s">
        <v>15</v>
      </c>
      <c r="D375" t="s">
        <v>17</v>
      </c>
      <c r="E375">
        <v>480</v>
      </c>
      <c r="F375">
        <v>5</v>
      </c>
      <c r="G375">
        <v>1946</v>
      </c>
      <c r="H375">
        <v>1863</v>
      </c>
      <c r="I375">
        <v>83</v>
      </c>
      <c r="J375">
        <v>12.6</v>
      </c>
      <c r="K375">
        <v>475</v>
      </c>
      <c r="L375">
        <v>0.98958333333333337</v>
      </c>
      <c r="M375">
        <v>0.86033684210526307</v>
      </c>
      <c r="N375">
        <v>0.95734840698869472</v>
      </c>
      <c r="O375">
        <v>0.81506249999999991</v>
      </c>
    </row>
    <row r="376" spans="1:15" x14ac:dyDescent="0.3">
      <c r="A376">
        <v>375</v>
      </c>
      <c r="B376" s="1">
        <v>45689</v>
      </c>
      <c r="C376" t="s">
        <v>15</v>
      </c>
      <c r="D376" t="s">
        <v>18</v>
      </c>
      <c r="E376">
        <v>480</v>
      </c>
      <c r="F376">
        <v>0</v>
      </c>
      <c r="G376">
        <v>1781</v>
      </c>
      <c r="H376">
        <v>1728</v>
      </c>
      <c r="I376">
        <v>53</v>
      </c>
      <c r="J376">
        <v>13.2</v>
      </c>
      <c r="K376">
        <v>480</v>
      </c>
      <c r="L376">
        <v>1</v>
      </c>
      <c r="M376">
        <v>0.81629166666666653</v>
      </c>
      <c r="N376">
        <v>0.97024143739472202</v>
      </c>
      <c r="O376">
        <v>0.79199999999999982</v>
      </c>
    </row>
    <row r="377" spans="1:15" x14ac:dyDescent="0.3">
      <c r="A377">
        <v>376</v>
      </c>
      <c r="B377" s="1">
        <v>45689</v>
      </c>
      <c r="C377" t="s">
        <v>15</v>
      </c>
      <c r="D377" t="s">
        <v>19</v>
      </c>
      <c r="E377">
        <v>480</v>
      </c>
      <c r="F377">
        <v>34</v>
      </c>
      <c r="G377">
        <v>1863</v>
      </c>
      <c r="H377">
        <v>1756</v>
      </c>
      <c r="I377">
        <v>107</v>
      </c>
      <c r="J377">
        <v>13.8</v>
      </c>
      <c r="K377">
        <v>446</v>
      </c>
      <c r="L377">
        <v>0.9291666666666667</v>
      </c>
      <c r="M377">
        <v>0.96073991031390138</v>
      </c>
      <c r="N377">
        <v>0.94256575415995703</v>
      </c>
      <c r="O377">
        <v>0.8414166666666667</v>
      </c>
    </row>
    <row r="378" spans="1:15" x14ac:dyDescent="0.3">
      <c r="A378">
        <v>377</v>
      </c>
      <c r="B378" s="1">
        <v>45689</v>
      </c>
      <c r="C378" t="s">
        <v>20</v>
      </c>
      <c r="D378" t="s">
        <v>16</v>
      </c>
      <c r="E378">
        <v>480</v>
      </c>
      <c r="F378">
        <v>5</v>
      </c>
      <c r="G378">
        <v>2089</v>
      </c>
      <c r="H378">
        <v>2031</v>
      </c>
      <c r="I378">
        <v>58</v>
      </c>
      <c r="J378">
        <v>12</v>
      </c>
      <c r="K378">
        <v>475</v>
      </c>
      <c r="L378">
        <v>0.98958333333333337</v>
      </c>
      <c r="M378">
        <v>0.87957894736842102</v>
      </c>
      <c r="N378">
        <v>0.9722355193872666</v>
      </c>
      <c r="O378">
        <v>0.84624999999999995</v>
      </c>
    </row>
    <row r="379" spans="1:15" x14ac:dyDescent="0.3">
      <c r="A379">
        <v>378</v>
      </c>
      <c r="B379" s="1">
        <v>45689</v>
      </c>
      <c r="C379" t="s">
        <v>20</v>
      </c>
      <c r="D379" t="s">
        <v>17</v>
      </c>
      <c r="E379">
        <v>480</v>
      </c>
      <c r="F379">
        <v>112</v>
      </c>
      <c r="G379">
        <v>1355</v>
      </c>
      <c r="H379">
        <v>1308</v>
      </c>
      <c r="I379">
        <v>47</v>
      </c>
      <c r="J379">
        <v>12.6</v>
      </c>
      <c r="K379">
        <v>368</v>
      </c>
      <c r="L379">
        <v>0.76666666666666672</v>
      </c>
      <c r="M379">
        <v>0.77323369565217392</v>
      </c>
      <c r="N379">
        <v>0.96531365313653139</v>
      </c>
      <c r="O379">
        <v>0.57225000000000004</v>
      </c>
    </row>
    <row r="380" spans="1:15" x14ac:dyDescent="0.3">
      <c r="A380">
        <v>379</v>
      </c>
      <c r="B380" s="1">
        <v>45689</v>
      </c>
      <c r="C380" t="s">
        <v>20</v>
      </c>
      <c r="D380" t="s">
        <v>18</v>
      </c>
      <c r="E380">
        <v>480</v>
      </c>
      <c r="F380">
        <v>0</v>
      </c>
      <c r="G380">
        <v>1655</v>
      </c>
      <c r="H380">
        <v>1636</v>
      </c>
      <c r="I380">
        <v>19</v>
      </c>
      <c r="J380">
        <v>13.2</v>
      </c>
      <c r="K380">
        <v>480</v>
      </c>
      <c r="L380">
        <v>1</v>
      </c>
      <c r="M380">
        <v>0.75854166666666667</v>
      </c>
      <c r="N380">
        <v>0.9885196374622357</v>
      </c>
      <c r="O380">
        <v>0.74983333333333335</v>
      </c>
    </row>
    <row r="381" spans="1:15" x14ac:dyDescent="0.3">
      <c r="A381">
        <v>380</v>
      </c>
      <c r="B381" s="1">
        <v>45689</v>
      </c>
      <c r="C381" t="s">
        <v>20</v>
      </c>
      <c r="D381" t="s">
        <v>19</v>
      </c>
      <c r="E381">
        <v>480</v>
      </c>
      <c r="F381">
        <v>0</v>
      </c>
      <c r="G381">
        <v>1981</v>
      </c>
      <c r="H381">
        <v>1934</v>
      </c>
      <c r="I381">
        <v>47</v>
      </c>
      <c r="J381">
        <v>13.8</v>
      </c>
      <c r="K381">
        <v>480</v>
      </c>
      <c r="L381">
        <v>1</v>
      </c>
      <c r="M381">
        <v>0.94922916666666679</v>
      </c>
      <c r="N381">
        <v>0.97627460878344274</v>
      </c>
      <c r="O381">
        <v>0.92670833333333347</v>
      </c>
    </row>
    <row r="382" spans="1:15" x14ac:dyDescent="0.3">
      <c r="A382">
        <v>381</v>
      </c>
      <c r="B382" s="1">
        <v>45689</v>
      </c>
      <c r="C382" t="s">
        <v>21</v>
      </c>
      <c r="D382" t="s">
        <v>16</v>
      </c>
      <c r="E382">
        <v>480</v>
      </c>
      <c r="F382">
        <v>120</v>
      </c>
      <c r="G382">
        <v>1719</v>
      </c>
      <c r="H382">
        <v>1666</v>
      </c>
      <c r="I382">
        <v>53</v>
      </c>
      <c r="J382">
        <v>12</v>
      </c>
      <c r="K382">
        <v>360</v>
      </c>
      <c r="L382">
        <v>0.75</v>
      </c>
      <c r="M382">
        <v>0.95499999999999996</v>
      </c>
      <c r="N382">
        <v>0.96916812100058169</v>
      </c>
      <c r="O382">
        <v>0.6941666666666666</v>
      </c>
    </row>
    <row r="383" spans="1:15" x14ac:dyDescent="0.3">
      <c r="A383">
        <v>382</v>
      </c>
      <c r="B383" s="1">
        <v>45689</v>
      </c>
      <c r="C383" t="s">
        <v>21</v>
      </c>
      <c r="D383" t="s">
        <v>17</v>
      </c>
      <c r="E383">
        <v>480</v>
      </c>
      <c r="F383">
        <v>58</v>
      </c>
      <c r="G383">
        <v>1902</v>
      </c>
      <c r="H383">
        <v>1864</v>
      </c>
      <c r="I383">
        <v>38</v>
      </c>
      <c r="J383">
        <v>12.6</v>
      </c>
      <c r="K383">
        <v>422</v>
      </c>
      <c r="L383">
        <v>0.87916666666666665</v>
      </c>
      <c r="M383">
        <v>0.94649289099526068</v>
      </c>
      <c r="N383">
        <v>0.98002103049421663</v>
      </c>
      <c r="O383">
        <v>0.8155</v>
      </c>
    </row>
    <row r="384" spans="1:15" x14ac:dyDescent="0.3">
      <c r="A384">
        <v>383</v>
      </c>
      <c r="B384" s="1">
        <v>45689</v>
      </c>
      <c r="C384" t="s">
        <v>21</v>
      </c>
      <c r="D384" t="s">
        <v>18</v>
      </c>
      <c r="E384">
        <v>480</v>
      </c>
      <c r="F384">
        <v>0</v>
      </c>
      <c r="G384">
        <v>1670</v>
      </c>
      <c r="H384">
        <v>1575</v>
      </c>
      <c r="I384">
        <v>95</v>
      </c>
      <c r="J384">
        <v>13.2</v>
      </c>
      <c r="K384">
        <v>480</v>
      </c>
      <c r="L384">
        <v>1</v>
      </c>
      <c r="M384">
        <v>0.76541666666666663</v>
      </c>
      <c r="N384">
        <v>0.94311377245508987</v>
      </c>
      <c r="O384">
        <v>0.72187500000000004</v>
      </c>
    </row>
    <row r="385" spans="1:15" x14ac:dyDescent="0.3">
      <c r="A385">
        <v>384</v>
      </c>
      <c r="B385" s="1">
        <v>45689</v>
      </c>
      <c r="C385" t="s">
        <v>21</v>
      </c>
      <c r="D385" t="s">
        <v>19</v>
      </c>
      <c r="E385">
        <v>480</v>
      </c>
      <c r="F385">
        <v>27</v>
      </c>
      <c r="G385">
        <v>1627</v>
      </c>
      <c r="H385">
        <v>1555</v>
      </c>
      <c r="I385">
        <v>72</v>
      </c>
      <c r="J385">
        <v>13.8</v>
      </c>
      <c r="K385">
        <v>453</v>
      </c>
      <c r="L385">
        <v>0.94374999999999998</v>
      </c>
      <c r="M385">
        <v>0.82607064017660048</v>
      </c>
      <c r="N385">
        <v>0.95574677320221268</v>
      </c>
      <c r="O385">
        <v>0.74510416666666668</v>
      </c>
    </row>
    <row r="386" spans="1:15" x14ac:dyDescent="0.3">
      <c r="A386">
        <v>385</v>
      </c>
      <c r="B386" s="1">
        <v>45690</v>
      </c>
      <c r="C386" t="s">
        <v>15</v>
      </c>
      <c r="D386" t="s">
        <v>16</v>
      </c>
      <c r="E386">
        <v>480</v>
      </c>
      <c r="F386">
        <v>43</v>
      </c>
      <c r="G386">
        <v>1657</v>
      </c>
      <c r="H386">
        <v>1630</v>
      </c>
      <c r="I386">
        <v>27</v>
      </c>
      <c r="J386">
        <v>12</v>
      </c>
      <c r="K386">
        <v>437</v>
      </c>
      <c r="L386">
        <v>0.91041666666666665</v>
      </c>
      <c r="M386">
        <v>0.75835240274599547</v>
      </c>
      <c r="N386">
        <v>0.98370549185274592</v>
      </c>
      <c r="O386">
        <v>0.6791666666666667</v>
      </c>
    </row>
    <row r="387" spans="1:15" x14ac:dyDescent="0.3">
      <c r="A387">
        <v>386</v>
      </c>
      <c r="B387" s="1">
        <v>45690</v>
      </c>
      <c r="C387" t="s">
        <v>15</v>
      </c>
      <c r="D387" t="s">
        <v>17</v>
      </c>
      <c r="E387">
        <v>480</v>
      </c>
      <c r="F387">
        <v>14</v>
      </c>
      <c r="G387">
        <v>1692</v>
      </c>
      <c r="H387">
        <v>1593</v>
      </c>
      <c r="I387">
        <v>99</v>
      </c>
      <c r="J387">
        <v>12.6</v>
      </c>
      <c r="K387">
        <v>466</v>
      </c>
      <c r="L387">
        <v>0.97083333333333333</v>
      </c>
      <c r="M387">
        <v>0.76248927038626613</v>
      </c>
      <c r="N387">
        <v>0.94148936170212771</v>
      </c>
      <c r="O387">
        <v>0.6969375000000001</v>
      </c>
    </row>
    <row r="388" spans="1:15" x14ac:dyDescent="0.3">
      <c r="A388">
        <v>387</v>
      </c>
      <c r="B388" s="1">
        <v>45690</v>
      </c>
      <c r="C388" t="s">
        <v>15</v>
      </c>
      <c r="D388" t="s">
        <v>18</v>
      </c>
      <c r="E388">
        <v>480</v>
      </c>
      <c r="F388">
        <v>11</v>
      </c>
      <c r="G388">
        <v>1599</v>
      </c>
      <c r="H388">
        <v>1525</v>
      </c>
      <c r="I388">
        <v>74</v>
      </c>
      <c r="J388">
        <v>13.2</v>
      </c>
      <c r="K388">
        <v>469</v>
      </c>
      <c r="L388">
        <v>0.9770833333333333</v>
      </c>
      <c r="M388">
        <v>0.75006396588486135</v>
      </c>
      <c r="N388">
        <v>0.95372107567229514</v>
      </c>
      <c r="O388">
        <v>0.69895833333333324</v>
      </c>
    </row>
    <row r="389" spans="1:15" x14ac:dyDescent="0.3">
      <c r="A389">
        <v>388</v>
      </c>
      <c r="B389" s="1">
        <v>45690</v>
      </c>
      <c r="C389" t="s">
        <v>15</v>
      </c>
      <c r="D389" t="s">
        <v>19</v>
      </c>
      <c r="E389">
        <v>480</v>
      </c>
      <c r="F389">
        <v>40</v>
      </c>
      <c r="G389">
        <v>1808</v>
      </c>
      <c r="H389">
        <v>1752</v>
      </c>
      <c r="I389">
        <v>56</v>
      </c>
      <c r="J389">
        <v>13.8</v>
      </c>
      <c r="K389">
        <v>440</v>
      </c>
      <c r="L389">
        <v>0.91666666666666663</v>
      </c>
      <c r="M389">
        <v>0.94509090909090909</v>
      </c>
      <c r="N389">
        <v>0.96902654867256632</v>
      </c>
      <c r="O389">
        <v>0.83949999999999991</v>
      </c>
    </row>
    <row r="390" spans="1:15" x14ac:dyDescent="0.3">
      <c r="A390">
        <v>389</v>
      </c>
      <c r="B390" s="1">
        <v>45690</v>
      </c>
      <c r="C390" t="s">
        <v>20</v>
      </c>
      <c r="D390" t="s">
        <v>16</v>
      </c>
      <c r="E390">
        <v>480</v>
      </c>
      <c r="F390">
        <v>50</v>
      </c>
      <c r="G390">
        <v>1702</v>
      </c>
      <c r="H390">
        <v>1654</v>
      </c>
      <c r="I390">
        <v>48</v>
      </c>
      <c r="J390">
        <v>12</v>
      </c>
      <c r="K390">
        <v>430</v>
      </c>
      <c r="L390">
        <v>0.89583333333333337</v>
      </c>
      <c r="M390">
        <v>0.79162790697674423</v>
      </c>
      <c r="N390">
        <v>0.97179788484136309</v>
      </c>
      <c r="O390">
        <v>0.68916666666666671</v>
      </c>
    </row>
    <row r="391" spans="1:15" x14ac:dyDescent="0.3">
      <c r="A391">
        <v>390</v>
      </c>
      <c r="B391" s="1">
        <v>45690</v>
      </c>
      <c r="C391" t="s">
        <v>20</v>
      </c>
      <c r="D391" t="s">
        <v>17</v>
      </c>
      <c r="E391">
        <v>480</v>
      </c>
      <c r="F391">
        <v>74</v>
      </c>
      <c r="G391">
        <v>1873</v>
      </c>
      <c r="H391">
        <v>1851</v>
      </c>
      <c r="I391">
        <v>22</v>
      </c>
      <c r="J391">
        <v>12.6</v>
      </c>
      <c r="K391">
        <v>406</v>
      </c>
      <c r="L391">
        <v>0.84583333333333333</v>
      </c>
      <c r="M391">
        <v>0.96879310344827585</v>
      </c>
      <c r="N391">
        <v>0.98825413774693005</v>
      </c>
      <c r="O391">
        <v>0.80981249999999994</v>
      </c>
    </row>
    <row r="392" spans="1:15" x14ac:dyDescent="0.3">
      <c r="A392">
        <v>391</v>
      </c>
      <c r="B392" s="1">
        <v>45690</v>
      </c>
      <c r="C392" t="s">
        <v>20</v>
      </c>
      <c r="D392" t="s">
        <v>18</v>
      </c>
      <c r="E392">
        <v>480</v>
      </c>
      <c r="F392">
        <v>56</v>
      </c>
      <c r="G392">
        <v>1781</v>
      </c>
      <c r="H392">
        <v>1755</v>
      </c>
      <c r="I392">
        <v>26</v>
      </c>
      <c r="J392">
        <v>13.2</v>
      </c>
      <c r="K392">
        <v>424</v>
      </c>
      <c r="L392">
        <v>0.8833333333333333</v>
      </c>
      <c r="M392">
        <v>0.92410377358490559</v>
      </c>
      <c r="N392">
        <v>0.98540145985401462</v>
      </c>
      <c r="O392">
        <v>0.80437499999999984</v>
      </c>
    </row>
    <row r="393" spans="1:15" x14ac:dyDescent="0.3">
      <c r="A393">
        <v>392</v>
      </c>
      <c r="B393" s="1">
        <v>45690</v>
      </c>
      <c r="C393" t="s">
        <v>20</v>
      </c>
      <c r="D393" t="s">
        <v>19</v>
      </c>
      <c r="E393">
        <v>480</v>
      </c>
      <c r="F393">
        <v>142</v>
      </c>
      <c r="G393">
        <v>1258</v>
      </c>
      <c r="H393">
        <v>1188</v>
      </c>
      <c r="I393">
        <v>70</v>
      </c>
      <c r="J393">
        <v>13.8</v>
      </c>
      <c r="K393">
        <v>338</v>
      </c>
      <c r="L393">
        <v>0.70416666666666672</v>
      </c>
      <c r="M393">
        <v>0.85603550295858</v>
      </c>
      <c r="N393">
        <v>0.94435612082670906</v>
      </c>
      <c r="O393">
        <v>0.56925000000000014</v>
      </c>
    </row>
    <row r="394" spans="1:15" x14ac:dyDescent="0.3">
      <c r="A394">
        <v>393</v>
      </c>
      <c r="B394" s="1">
        <v>45690</v>
      </c>
      <c r="C394" t="s">
        <v>21</v>
      </c>
      <c r="D394" t="s">
        <v>16</v>
      </c>
      <c r="E394">
        <v>480</v>
      </c>
      <c r="F394">
        <v>139</v>
      </c>
      <c r="G394">
        <v>1553</v>
      </c>
      <c r="H394">
        <v>1482</v>
      </c>
      <c r="I394">
        <v>71</v>
      </c>
      <c r="J394">
        <v>12</v>
      </c>
      <c r="K394">
        <v>341</v>
      </c>
      <c r="L394">
        <v>0.7104166666666667</v>
      </c>
      <c r="M394">
        <v>0.91085043988269798</v>
      </c>
      <c r="N394">
        <v>0.95428203477141016</v>
      </c>
      <c r="O394">
        <v>0.61750000000000005</v>
      </c>
    </row>
    <row r="395" spans="1:15" x14ac:dyDescent="0.3">
      <c r="A395">
        <v>394</v>
      </c>
      <c r="B395" s="1">
        <v>45690</v>
      </c>
      <c r="C395" t="s">
        <v>21</v>
      </c>
      <c r="D395" t="s">
        <v>17</v>
      </c>
      <c r="E395">
        <v>480</v>
      </c>
      <c r="F395">
        <v>165</v>
      </c>
      <c r="G395">
        <v>1128</v>
      </c>
      <c r="H395">
        <v>1078</v>
      </c>
      <c r="I395">
        <v>50</v>
      </c>
      <c r="J395">
        <v>12.6</v>
      </c>
      <c r="K395">
        <v>315</v>
      </c>
      <c r="L395">
        <v>0.65625</v>
      </c>
      <c r="M395">
        <v>0.752</v>
      </c>
      <c r="N395">
        <v>0.95567375886524819</v>
      </c>
      <c r="O395">
        <v>0.47162499999999996</v>
      </c>
    </row>
    <row r="396" spans="1:15" x14ac:dyDescent="0.3">
      <c r="A396">
        <v>395</v>
      </c>
      <c r="B396" s="1">
        <v>45690</v>
      </c>
      <c r="C396" t="s">
        <v>21</v>
      </c>
      <c r="D396" t="s">
        <v>18</v>
      </c>
      <c r="E396">
        <v>480</v>
      </c>
      <c r="F396">
        <v>118</v>
      </c>
      <c r="G396">
        <v>1253</v>
      </c>
      <c r="H396">
        <v>1209</v>
      </c>
      <c r="I396">
        <v>44</v>
      </c>
      <c r="J396">
        <v>13.2</v>
      </c>
      <c r="K396">
        <v>362</v>
      </c>
      <c r="L396">
        <v>0.75416666666666665</v>
      </c>
      <c r="M396">
        <v>0.7614917127071823</v>
      </c>
      <c r="N396">
        <v>0.96488427773343977</v>
      </c>
      <c r="O396">
        <v>0.55412499999999998</v>
      </c>
    </row>
    <row r="397" spans="1:15" x14ac:dyDescent="0.3">
      <c r="A397">
        <v>396</v>
      </c>
      <c r="B397" s="1">
        <v>45690</v>
      </c>
      <c r="C397" t="s">
        <v>21</v>
      </c>
      <c r="D397" t="s">
        <v>19</v>
      </c>
      <c r="E397">
        <v>480</v>
      </c>
      <c r="F397">
        <v>17</v>
      </c>
      <c r="G397">
        <v>1910</v>
      </c>
      <c r="H397">
        <v>1876</v>
      </c>
      <c r="I397">
        <v>34</v>
      </c>
      <c r="J397">
        <v>13.8</v>
      </c>
      <c r="K397">
        <v>463</v>
      </c>
      <c r="L397">
        <v>0.96458333333333335</v>
      </c>
      <c r="M397">
        <v>0.94881209503239738</v>
      </c>
      <c r="N397">
        <v>0.98219895287958114</v>
      </c>
      <c r="O397">
        <v>0.89891666666666659</v>
      </c>
    </row>
    <row r="398" spans="1:15" x14ac:dyDescent="0.3">
      <c r="A398">
        <v>397</v>
      </c>
      <c r="B398" s="1">
        <v>45691</v>
      </c>
      <c r="C398" t="s">
        <v>15</v>
      </c>
      <c r="D398" t="s">
        <v>16</v>
      </c>
      <c r="E398">
        <v>480</v>
      </c>
      <c r="F398">
        <v>27</v>
      </c>
      <c r="G398">
        <v>2113</v>
      </c>
      <c r="H398">
        <v>2066</v>
      </c>
      <c r="I398">
        <v>47</v>
      </c>
      <c r="J398">
        <v>12</v>
      </c>
      <c r="K398">
        <v>453</v>
      </c>
      <c r="L398">
        <v>0.94374999999999998</v>
      </c>
      <c r="M398">
        <v>0.93289183222958061</v>
      </c>
      <c r="N398">
        <v>0.97775674396592527</v>
      </c>
      <c r="O398">
        <v>0.86083333333333334</v>
      </c>
    </row>
    <row r="399" spans="1:15" x14ac:dyDescent="0.3">
      <c r="A399">
        <v>398</v>
      </c>
      <c r="B399" s="1">
        <v>45691</v>
      </c>
      <c r="C399" t="s">
        <v>15</v>
      </c>
      <c r="D399" t="s">
        <v>17</v>
      </c>
      <c r="E399">
        <v>480</v>
      </c>
      <c r="F399">
        <v>42</v>
      </c>
      <c r="G399">
        <v>1915</v>
      </c>
      <c r="H399">
        <v>1858</v>
      </c>
      <c r="I399">
        <v>57</v>
      </c>
      <c r="J399">
        <v>12.6</v>
      </c>
      <c r="K399">
        <v>438</v>
      </c>
      <c r="L399">
        <v>0.91249999999999998</v>
      </c>
      <c r="M399">
        <v>0.91815068493150687</v>
      </c>
      <c r="N399">
        <v>0.97023498694516974</v>
      </c>
      <c r="O399">
        <v>0.81287500000000001</v>
      </c>
    </row>
    <row r="400" spans="1:15" x14ac:dyDescent="0.3">
      <c r="A400">
        <v>399</v>
      </c>
      <c r="B400" s="1">
        <v>45691</v>
      </c>
      <c r="C400" t="s">
        <v>15</v>
      </c>
      <c r="D400" t="s">
        <v>18</v>
      </c>
      <c r="E400">
        <v>480</v>
      </c>
      <c r="F400">
        <v>0</v>
      </c>
      <c r="G400">
        <v>2029</v>
      </c>
      <c r="H400">
        <v>1980</v>
      </c>
      <c r="I400">
        <v>49</v>
      </c>
      <c r="J400">
        <v>13.2</v>
      </c>
      <c r="K400">
        <v>480</v>
      </c>
      <c r="L400">
        <v>1</v>
      </c>
      <c r="M400">
        <v>0.92995833333333333</v>
      </c>
      <c r="N400">
        <v>0.97585017249876782</v>
      </c>
      <c r="O400">
        <v>0.90749999999999997</v>
      </c>
    </row>
    <row r="401" spans="1:15" x14ac:dyDescent="0.3">
      <c r="A401">
        <v>400</v>
      </c>
      <c r="B401" s="1">
        <v>45691</v>
      </c>
      <c r="C401" t="s">
        <v>15</v>
      </c>
      <c r="D401" t="s">
        <v>19</v>
      </c>
      <c r="E401">
        <v>480</v>
      </c>
      <c r="F401">
        <v>82</v>
      </c>
      <c r="G401">
        <v>1565</v>
      </c>
      <c r="H401">
        <v>1500</v>
      </c>
      <c r="I401">
        <v>65</v>
      </c>
      <c r="J401">
        <v>13.8</v>
      </c>
      <c r="K401">
        <v>398</v>
      </c>
      <c r="L401">
        <v>0.82916666666666672</v>
      </c>
      <c r="M401">
        <v>0.90439698492462317</v>
      </c>
      <c r="N401">
        <v>0.95846645367412142</v>
      </c>
      <c r="O401">
        <v>0.71875000000000011</v>
      </c>
    </row>
    <row r="402" spans="1:15" x14ac:dyDescent="0.3">
      <c r="A402">
        <v>401</v>
      </c>
      <c r="B402" s="1">
        <v>45691</v>
      </c>
      <c r="C402" t="s">
        <v>20</v>
      </c>
      <c r="D402" t="s">
        <v>16</v>
      </c>
      <c r="E402">
        <v>480</v>
      </c>
      <c r="F402">
        <v>0</v>
      </c>
      <c r="G402">
        <v>2030</v>
      </c>
      <c r="H402">
        <v>1934</v>
      </c>
      <c r="I402">
        <v>96</v>
      </c>
      <c r="J402">
        <v>12</v>
      </c>
      <c r="K402">
        <v>480</v>
      </c>
      <c r="L402">
        <v>1</v>
      </c>
      <c r="M402">
        <v>0.84583333333333333</v>
      </c>
      <c r="N402">
        <v>0.9527093596059113</v>
      </c>
      <c r="O402">
        <v>0.80583333333333329</v>
      </c>
    </row>
    <row r="403" spans="1:15" x14ac:dyDescent="0.3">
      <c r="A403">
        <v>402</v>
      </c>
      <c r="B403" s="1">
        <v>45691</v>
      </c>
      <c r="C403" t="s">
        <v>20</v>
      </c>
      <c r="D403" t="s">
        <v>17</v>
      </c>
      <c r="E403">
        <v>480</v>
      </c>
      <c r="F403">
        <v>0</v>
      </c>
      <c r="G403">
        <v>1860</v>
      </c>
      <c r="H403">
        <v>1816</v>
      </c>
      <c r="I403">
        <v>44</v>
      </c>
      <c r="J403">
        <v>12.6</v>
      </c>
      <c r="K403">
        <v>480</v>
      </c>
      <c r="L403">
        <v>1</v>
      </c>
      <c r="M403">
        <v>0.81374999999999997</v>
      </c>
      <c r="N403">
        <v>0.97634408602150535</v>
      </c>
      <c r="O403">
        <v>0.79449999999999998</v>
      </c>
    </row>
    <row r="404" spans="1:15" x14ac:dyDescent="0.3">
      <c r="A404">
        <v>403</v>
      </c>
      <c r="B404" s="1">
        <v>45691</v>
      </c>
      <c r="C404" t="s">
        <v>20</v>
      </c>
      <c r="D404" t="s">
        <v>18</v>
      </c>
      <c r="E404">
        <v>480</v>
      </c>
      <c r="F404">
        <v>12</v>
      </c>
      <c r="G404">
        <v>1792</v>
      </c>
      <c r="H404">
        <v>1708</v>
      </c>
      <c r="I404">
        <v>84</v>
      </c>
      <c r="J404">
        <v>13.2</v>
      </c>
      <c r="K404">
        <v>468</v>
      </c>
      <c r="L404">
        <v>0.97499999999999998</v>
      </c>
      <c r="M404">
        <v>0.84239316239316231</v>
      </c>
      <c r="N404">
        <v>0.953125</v>
      </c>
      <c r="O404">
        <v>0.78283333333333327</v>
      </c>
    </row>
    <row r="405" spans="1:15" x14ac:dyDescent="0.3">
      <c r="A405">
        <v>404</v>
      </c>
      <c r="B405" s="1">
        <v>45691</v>
      </c>
      <c r="C405" t="s">
        <v>20</v>
      </c>
      <c r="D405" t="s">
        <v>19</v>
      </c>
      <c r="E405">
        <v>480</v>
      </c>
      <c r="F405">
        <v>35</v>
      </c>
      <c r="G405">
        <v>1570</v>
      </c>
      <c r="H405">
        <v>1532</v>
      </c>
      <c r="I405">
        <v>38</v>
      </c>
      <c r="J405">
        <v>13.8</v>
      </c>
      <c r="K405">
        <v>445</v>
      </c>
      <c r="L405">
        <v>0.92708333333333337</v>
      </c>
      <c r="M405">
        <v>0.81146067415730339</v>
      </c>
      <c r="N405">
        <v>0.97579617834394905</v>
      </c>
      <c r="O405">
        <v>0.73408333333333331</v>
      </c>
    </row>
    <row r="406" spans="1:15" x14ac:dyDescent="0.3">
      <c r="A406">
        <v>405</v>
      </c>
      <c r="B406" s="1">
        <v>45691</v>
      </c>
      <c r="C406" t="s">
        <v>21</v>
      </c>
      <c r="D406" t="s">
        <v>16</v>
      </c>
      <c r="E406">
        <v>480</v>
      </c>
      <c r="F406">
        <v>160</v>
      </c>
      <c r="G406">
        <v>1438</v>
      </c>
      <c r="H406">
        <v>1405</v>
      </c>
      <c r="I406">
        <v>33</v>
      </c>
      <c r="J406">
        <v>12</v>
      </c>
      <c r="K406">
        <v>320</v>
      </c>
      <c r="L406">
        <v>0.66666666666666663</v>
      </c>
      <c r="M406">
        <v>0.89875000000000005</v>
      </c>
      <c r="N406">
        <v>0.97705146036161339</v>
      </c>
      <c r="O406">
        <v>0.5854166666666667</v>
      </c>
    </row>
    <row r="407" spans="1:15" x14ac:dyDescent="0.3">
      <c r="A407">
        <v>406</v>
      </c>
      <c r="B407" s="1">
        <v>45691</v>
      </c>
      <c r="C407" t="s">
        <v>21</v>
      </c>
      <c r="D407" t="s">
        <v>17</v>
      </c>
      <c r="E407">
        <v>480</v>
      </c>
      <c r="F407">
        <v>0</v>
      </c>
      <c r="G407">
        <v>2221</v>
      </c>
      <c r="H407">
        <v>2171</v>
      </c>
      <c r="I407">
        <v>50</v>
      </c>
      <c r="J407">
        <v>12.6</v>
      </c>
      <c r="K407">
        <v>480</v>
      </c>
      <c r="L407">
        <v>1</v>
      </c>
      <c r="M407">
        <v>0.97168749999999993</v>
      </c>
      <c r="N407">
        <v>0.97748761819000451</v>
      </c>
      <c r="O407">
        <v>0.94981249999999995</v>
      </c>
    </row>
    <row r="408" spans="1:15" x14ac:dyDescent="0.3">
      <c r="A408">
        <v>407</v>
      </c>
      <c r="B408" s="1">
        <v>45691</v>
      </c>
      <c r="C408" t="s">
        <v>21</v>
      </c>
      <c r="D408" t="s">
        <v>18</v>
      </c>
      <c r="E408">
        <v>480</v>
      </c>
      <c r="F408">
        <v>120</v>
      </c>
      <c r="G408">
        <v>1582</v>
      </c>
      <c r="H408">
        <v>1508</v>
      </c>
      <c r="I408">
        <v>74</v>
      </c>
      <c r="J408">
        <v>13.2</v>
      </c>
      <c r="K408">
        <v>360</v>
      </c>
      <c r="L408">
        <v>0.75</v>
      </c>
      <c r="M408">
        <v>0.96677777777777762</v>
      </c>
      <c r="N408">
        <v>0.95322376738305947</v>
      </c>
      <c r="O408">
        <v>0.6911666666666666</v>
      </c>
    </row>
    <row r="409" spans="1:15" x14ac:dyDescent="0.3">
      <c r="A409">
        <v>408</v>
      </c>
      <c r="B409" s="1">
        <v>45691</v>
      </c>
      <c r="C409" t="s">
        <v>21</v>
      </c>
      <c r="D409" t="s">
        <v>19</v>
      </c>
      <c r="E409">
        <v>480</v>
      </c>
      <c r="F409">
        <v>24</v>
      </c>
      <c r="G409">
        <v>1797</v>
      </c>
      <c r="H409">
        <v>1743</v>
      </c>
      <c r="I409">
        <v>54</v>
      </c>
      <c r="J409">
        <v>13.8</v>
      </c>
      <c r="K409">
        <v>456</v>
      </c>
      <c r="L409">
        <v>0.95</v>
      </c>
      <c r="M409">
        <v>0.90638157894736848</v>
      </c>
      <c r="N409">
        <v>0.96994991652754592</v>
      </c>
      <c r="O409">
        <v>0.83518750000000008</v>
      </c>
    </row>
    <row r="410" spans="1:15" x14ac:dyDescent="0.3">
      <c r="A410">
        <v>409</v>
      </c>
      <c r="B410" s="1">
        <v>45692</v>
      </c>
      <c r="C410" t="s">
        <v>15</v>
      </c>
      <c r="D410" t="s">
        <v>16</v>
      </c>
      <c r="E410">
        <v>480</v>
      </c>
      <c r="F410">
        <v>0</v>
      </c>
      <c r="G410">
        <v>2121</v>
      </c>
      <c r="H410">
        <v>2073</v>
      </c>
      <c r="I410">
        <v>48</v>
      </c>
      <c r="J410">
        <v>12</v>
      </c>
      <c r="K410">
        <v>480</v>
      </c>
      <c r="L410">
        <v>1</v>
      </c>
      <c r="M410">
        <v>0.88375000000000004</v>
      </c>
      <c r="N410">
        <v>0.97736916548797736</v>
      </c>
      <c r="O410">
        <v>0.86375000000000002</v>
      </c>
    </row>
    <row r="411" spans="1:15" x14ac:dyDescent="0.3">
      <c r="A411">
        <v>410</v>
      </c>
      <c r="B411" s="1">
        <v>45692</v>
      </c>
      <c r="C411" t="s">
        <v>15</v>
      </c>
      <c r="D411" t="s">
        <v>17</v>
      </c>
      <c r="E411">
        <v>480</v>
      </c>
      <c r="F411">
        <v>118</v>
      </c>
      <c r="G411">
        <v>1333</v>
      </c>
      <c r="H411">
        <v>1320</v>
      </c>
      <c r="I411">
        <v>13</v>
      </c>
      <c r="J411">
        <v>12.6</v>
      </c>
      <c r="K411">
        <v>362</v>
      </c>
      <c r="L411">
        <v>0.75416666666666665</v>
      </c>
      <c r="M411">
        <v>0.77328729281767949</v>
      </c>
      <c r="N411">
        <v>0.99024756189047258</v>
      </c>
      <c r="O411">
        <v>0.5774999999999999</v>
      </c>
    </row>
    <row r="412" spans="1:15" x14ac:dyDescent="0.3">
      <c r="A412">
        <v>411</v>
      </c>
      <c r="B412" s="1">
        <v>45692</v>
      </c>
      <c r="C412" t="s">
        <v>15</v>
      </c>
      <c r="D412" t="s">
        <v>18</v>
      </c>
      <c r="E412">
        <v>480</v>
      </c>
      <c r="F412">
        <v>73</v>
      </c>
      <c r="G412">
        <v>1572</v>
      </c>
      <c r="H412">
        <v>1536</v>
      </c>
      <c r="I412">
        <v>36</v>
      </c>
      <c r="J412">
        <v>13.2</v>
      </c>
      <c r="K412">
        <v>407</v>
      </c>
      <c r="L412">
        <v>0.84791666666666665</v>
      </c>
      <c r="M412">
        <v>0.8497297297297296</v>
      </c>
      <c r="N412">
        <v>0.97709923664122134</v>
      </c>
      <c r="O412">
        <v>0.70399999999999985</v>
      </c>
    </row>
    <row r="413" spans="1:15" x14ac:dyDescent="0.3">
      <c r="A413">
        <v>412</v>
      </c>
      <c r="B413" s="1">
        <v>45692</v>
      </c>
      <c r="C413" t="s">
        <v>15</v>
      </c>
      <c r="D413" t="s">
        <v>19</v>
      </c>
      <c r="E413">
        <v>480</v>
      </c>
      <c r="F413">
        <v>27</v>
      </c>
      <c r="G413">
        <v>1800</v>
      </c>
      <c r="H413">
        <v>1774</v>
      </c>
      <c r="I413">
        <v>26</v>
      </c>
      <c r="J413">
        <v>13.8</v>
      </c>
      <c r="K413">
        <v>453</v>
      </c>
      <c r="L413">
        <v>0.94374999999999998</v>
      </c>
      <c r="M413">
        <v>0.91390728476821192</v>
      </c>
      <c r="N413">
        <v>0.98555555555555552</v>
      </c>
      <c r="O413">
        <v>0.85004166666666658</v>
      </c>
    </row>
    <row r="414" spans="1:15" x14ac:dyDescent="0.3">
      <c r="A414">
        <v>413</v>
      </c>
      <c r="B414" s="1">
        <v>45692</v>
      </c>
      <c r="C414" t="s">
        <v>20</v>
      </c>
      <c r="D414" t="s">
        <v>16</v>
      </c>
      <c r="E414">
        <v>480</v>
      </c>
      <c r="F414">
        <v>0</v>
      </c>
      <c r="G414">
        <v>2284</v>
      </c>
      <c r="H414">
        <v>2177</v>
      </c>
      <c r="I414">
        <v>107</v>
      </c>
      <c r="J414">
        <v>12</v>
      </c>
      <c r="K414">
        <v>480</v>
      </c>
      <c r="L414">
        <v>1</v>
      </c>
      <c r="M414">
        <v>0.95166666666666666</v>
      </c>
      <c r="N414">
        <v>0.95315236427320493</v>
      </c>
      <c r="O414">
        <v>0.90708333333333335</v>
      </c>
    </row>
    <row r="415" spans="1:15" x14ac:dyDescent="0.3">
      <c r="A415">
        <v>414</v>
      </c>
      <c r="B415" s="1">
        <v>45692</v>
      </c>
      <c r="C415" t="s">
        <v>20</v>
      </c>
      <c r="D415" t="s">
        <v>17</v>
      </c>
      <c r="E415">
        <v>480</v>
      </c>
      <c r="F415">
        <v>0</v>
      </c>
      <c r="G415">
        <v>1844</v>
      </c>
      <c r="H415">
        <v>1806</v>
      </c>
      <c r="I415">
        <v>38</v>
      </c>
      <c r="J415">
        <v>12.6</v>
      </c>
      <c r="K415">
        <v>480</v>
      </c>
      <c r="L415">
        <v>1</v>
      </c>
      <c r="M415">
        <v>0.80674999999999997</v>
      </c>
      <c r="N415">
        <v>0.97939262472885036</v>
      </c>
      <c r="O415">
        <v>0.79012499999999997</v>
      </c>
    </row>
    <row r="416" spans="1:15" x14ac:dyDescent="0.3">
      <c r="A416">
        <v>415</v>
      </c>
      <c r="B416" s="1">
        <v>45692</v>
      </c>
      <c r="C416" t="s">
        <v>20</v>
      </c>
      <c r="D416" t="s">
        <v>18</v>
      </c>
      <c r="E416">
        <v>480</v>
      </c>
      <c r="F416">
        <v>27</v>
      </c>
      <c r="G416">
        <v>1891</v>
      </c>
      <c r="H416">
        <v>1815</v>
      </c>
      <c r="I416">
        <v>76</v>
      </c>
      <c r="J416">
        <v>13.2</v>
      </c>
      <c r="K416">
        <v>453</v>
      </c>
      <c r="L416">
        <v>0.94374999999999998</v>
      </c>
      <c r="M416">
        <v>0.91836644591611472</v>
      </c>
      <c r="N416">
        <v>0.95980962453728191</v>
      </c>
      <c r="O416">
        <v>0.83187499999999992</v>
      </c>
    </row>
    <row r="417" spans="1:15" x14ac:dyDescent="0.3">
      <c r="A417">
        <v>416</v>
      </c>
      <c r="B417" s="1">
        <v>45692</v>
      </c>
      <c r="C417" t="s">
        <v>20</v>
      </c>
      <c r="D417" t="s">
        <v>19</v>
      </c>
      <c r="E417">
        <v>480</v>
      </c>
      <c r="F417">
        <v>109</v>
      </c>
      <c r="G417">
        <v>1508</v>
      </c>
      <c r="H417">
        <v>1431</v>
      </c>
      <c r="I417">
        <v>77</v>
      </c>
      <c r="J417">
        <v>13.8</v>
      </c>
      <c r="K417">
        <v>371</v>
      </c>
      <c r="L417">
        <v>0.7729166666666667</v>
      </c>
      <c r="M417">
        <v>0.93487870619946101</v>
      </c>
      <c r="N417">
        <v>0.94893899204244037</v>
      </c>
      <c r="O417">
        <v>0.68568750000000012</v>
      </c>
    </row>
    <row r="418" spans="1:15" x14ac:dyDescent="0.3">
      <c r="A418">
        <v>417</v>
      </c>
      <c r="B418" s="1">
        <v>45692</v>
      </c>
      <c r="C418" t="s">
        <v>21</v>
      </c>
      <c r="D418" t="s">
        <v>16</v>
      </c>
      <c r="E418">
        <v>480</v>
      </c>
      <c r="F418">
        <v>62</v>
      </c>
      <c r="G418">
        <v>1600</v>
      </c>
      <c r="H418">
        <v>1555</v>
      </c>
      <c r="I418">
        <v>45</v>
      </c>
      <c r="J418">
        <v>12</v>
      </c>
      <c r="K418">
        <v>418</v>
      </c>
      <c r="L418">
        <v>0.87083333333333335</v>
      </c>
      <c r="M418">
        <v>0.76555023923444976</v>
      </c>
      <c r="N418">
        <v>0.97187500000000004</v>
      </c>
      <c r="O418">
        <v>0.6479166666666667</v>
      </c>
    </row>
    <row r="419" spans="1:15" x14ac:dyDescent="0.3">
      <c r="A419">
        <v>418</v>
      </c>
      <c r="B419" s="1">
        <v>45692</v>
      </c>
      <c r="C419" t="s">
        <v>21</v>
      </c>
      <c r="D419" t="s">
        <v>17</v>
      </c>
      <c r="E419">
        <v>480</v>
      </c>
      <c r="F419">
        <v>110</v>
      </c>
      <c r="G419">
        <v>1422</v>
      </c>
      <c r="H419">
        <v>1358</v>
      </c>
      <c r="I419">
        <v>64</v>
      </c>
      <c r="J419">
        <v>12.6</v>
      </c>
      <c r="K419">
        <v>370</v>
      </c>
      <c r="L419">
        <v>0.77083333333333337</v>
      </c>
      <c r="M419">
        <v>0.80708108108108112</v>
      </c>
      <c r="N419">
        <v>0.95499296765119546</v>
      </c>
      <c r="O419">
        <v>0.59412500000000001</v>
      </c>
    </row>
    <row r="420" spans="1:15" x14ac:dyDescent="0.3">
      <c r="A420">
        <v>419</v>
      </c>
      <c r="B420" s="1">
        <v>45692</v>
      </c>
      <c r="C420" t="s">
        <v>21</v>
      </c>
      <c r="D420" t="s">
        <v>18</v>
      </c>
      <c r="E420">
        <v>480</v>
      </c>
      <c r="F420">
        <v>82</v>
      </c>
      <c r="G420">
        <v>1383</v>
      </c>
      <c r="H420">
        <v>1313</v>
      </c>
      <c r="I420">
        <v>70</v>
      </c>
      <c r="J420">
        <v>13.2</v>
      </c>
      <c r="K420">
        <v>398</v>
      </c>
      <c r="L420">
        <v>0.82916666666666672</v>
      </c>
      <c r="M420">
        <v>0.76447236180904521</v>
      </c>
      <c r="N420">
        <v>0.94938539407086042</v>
      </c>
      <c r="O420">
        <v>0.60179166666666672</v>
      </c>
    </row>
    <row r="421" spans="1:15" x14ac:dyDescent="0.3">
      <c r="A421">
        <v>420</v>
      </c>
      <c r="B421" s="1">
        <v>45692</v>
      </c>
      <c r="C421" t="s">
        <v>21</v>
      </c>
      <c r="D421" t="s">
        <v>19</v>
      </c>
      <c r="E421">
        <v>480</v>
      </c>
      <c r="F421">
        <v>16</v>
      </c>
      <c r="G421">
        <v>1746</v>
      </c>
      <c r="H421">
        <v>1724</v>
      </c>
      <c r="I421">
        <v>22</v>
      </c>
      <c r="J421">
        <v>13.8</v>
      </c>
      <c r="K421">
        <v>464</v>
      </c>
      <c r="L421">
        <v>0.96666666666666667</v>
      </c>
      <c r="M421">
        <v>0.86547413793103456</v>
      </c>
      <c r="N421">
        <v>0.98739977090492559</v>
      </c>
      <c r="O421">
        <v>0.82608333333333339</v>
      </c>
    </row>
    <row r="422" spans="1:15" x14ac:dyDescent="0.3">
      <c r="A422">
        <v>421</v>
      </c>
      <c r="B422" s="1">
        <v>45693</v>
      </c>
      <c r="C422" t="s">
        <v>15</v>
      </c>
      <c r="D422" t="s">
        <v>16</v>
      </c>
      <c r="E422">
        <v>480</v>
      </c>
      <c r="F422">
        <v>16</v>
      </c>
      <c r="G422">
        <v>1825</v>
      </c>
      <c r="H422">
        <v>1793</v>
      </c>
      <c r="I422">
        <v>32</v>
      </c>
      <c r="J422">
        <v>12</v>
      </c>
      <c r="K422">
        <v>464</v>
      </c>
      <c r="L422">
        <v>0.96666666666666667</v>
      </c>
      <c r="M422">
        <v>0.78663793103448276</v>
      </c>
      <c r="N422">
        <v>0.98246575342465758</v>
      </c>
      <c r="O422">
        <v>0.74708333333333332</v>
      </c>
    </row>
    <row r="423" spans="1:15" x14ac:dyDescent="0.3">
      <c r="A423">
        <v>422</v>
      </c>
      <c r="B423" s="1">
        <v>45693</v>
      </c>
      <c r="C423" t="s">
        <v>15</v>
      </c>
      <c r="D423" t="s">
        <v>17</v>
      </c>
      <c r="E423">
        <v>480</v>
      </c>
      <c r="F423">
        <v>0</v>
      </c>
      <c r="G423">
        <v>1811</v>
      </c>
      <c r="H423">
        <v>1733</v>
      </c>
      <c r="I423">
        <v>78</v>
      </c>
      <c r="J423">
        <v>12.6</v>
      </c>
      <c r="K423">
        <v>480</v>
      </c>
      <c r="L423">
        <v>1</v>
      </c>
      <c r="M423">
        <v>0.79231249999999998</v>
      </c>
      <c r="N423">
        <v>0.95692987299834342</v>
      </c>
      <c r="O423">
        <v>0.7581874999999999</v>
      </c>
    </row>
    <row r="424" spans="1:15" x14ac:dyDescent="0.3">
      <c r="A424">
        <v>423</v>
      </c>
      <c r="B424" s="1">
        <v>45693</v>
      </c>
      <c r="C424" t="s">
        <v>15</v>
      </c>
      <c r="D424" t="s">
        <v>18</v>
      </c>
      <c r="E424">
        <v>480</v>
      </c>
      <c r="F424">
        <v>56</v>
      </c>
      <c r="G424">
        <v>1602</v>
      </c>
      <c r="H424">
        <v>1520</v>
      </c>
      <c r="I424">
        <v>82</v>
      </c>
      <c r="J424">
        <v>13.2</v>
      </c>
      <c r="K424">
        <v>424</v>
      </c>
      <c r="L424">
        <v>0.8833333333333333</v>
      </c>
      <c r="M424">
        <v>0.83122641509433959</v>
      </c>
      <c r="N424">
        <v>0.94881398252184768</v>
      </c>
      <c r="O424">
        <v>0.69666666666666666</v>
      </c>
    </row>
    <row r="425" spans="1:15" x14ac:dyDescent="0.3">
      <c r="A425">
        <v>424</v>
      </c>
      <c r="B425" s="1">
        <v>45693</v>
      </c>
      <c r="C425" t="s">
        <v>15</v>
      </c>
      <c r="D425" t="s">
        <v>19</v>
      </c>
      <c r="E425">
        <v>480</v>
      </c>
      <c r="F425">
        <v>37</v>
      </c>
      <c r="G425">
        <v>1861</v>
      </c>
      <c r="H425">
        <v>1761</v>
      </c>
      <c r="I425">
        <v>100</v>
      </c>
      <c r="J425">
        <v>13.8</v>
      </c>
      <c r="K425">
        <v>443</v>
      </c>
      <c r="L425">
        <v>0.92291666666666672</v>
      </c>
      <c r="M425">
        <v>0.96620767494356674</v>
      </c>
      <c r="N425">
        <v>0.94626544868350349</v>
      </c>
      <c r="O425">
        <v>0.84381250000000019</v>
      </c>
    </row>
    <row r="426" spans="1:15" x14ac:dyDescent="0.3">
      <c r="A426">
        <v>425</v>
      </c>
      <c r="B426" s="1">
        <v>45693</v>
      </c>
      <c r="C426" t="s">
        <v>20</v>
      </c>
      <c r="D426" t="s">
        <v>16</v>
      </c>
      <c r="E426">
        <v>480</v>
      </c>
      <c r="F426">
        <v>0</v>
      </c>
      <c r="G426">
        <v>2016</v>
      </c>
      <c r="H426">
        <v>1941</v>
      </c>
      <c r="I426">
        <v>75</v>
      </c>
      <c r="J426">
        <v>12</v>
      </c>
      <c r="K426">
        <v>480</v>
      </c>
      <c r="L426">
        <v>1</v>
      </c>
      <c r="M426">
        <v>0.84</v>
      </c>
      <c r="N426">
        <v>0.96279761904761907</v>
      </c>
      <c r="O426">
        <v>0.80874999999999997</v>
      </c>
    </row>
    <row r="427" spans="1:15" x14ac:dyDescent="0.3">
      <c r="A427">
        <v>426</v>
      </c>
      <c r="B427" s="1">
        <v>45693</v>
      </c>
      <c r="C427" t="s">
        <v>20</v>
      </c>
      <c r="D427" t="s">
        <v>17</v>
      </c>
      <c r="E427">
        <v>480</v>
      </c>
      <c r="F427">
        <v>28</v>
      </c>
      <c r="G427">
        <v>2029</v>
      </c>
      <c r="H427">
        <v>1922</v>
      </c>
      <c r="I427">
        <v>107</v>
      </c>
      <c r="J427">
        <v>12.6</v>
      </c>
      <c r="K427">
        <v>452</v>
      </c>
      <c r="L427">
        <v>0.94166666666666665</v>
      </c>
      <c r="M427">
        <v>0.94267699115044234</v>
      </c>
      <c r="N427">
        <v>0.94726466239526863</v>
      </c>
      <c r="O427">
        <v>0.84087499999999993</v>
      </c>
    </row>
    <row r="428" spans="1:15" x14ac:dyDescent="0.3">
      <c r="A428">
        <v>427</v>
      </c>
      <c r="B428" s="1">
        <v>45693</v>
      </c>
      <c r="C428" t="s">
        <v>20</v>
      </c>
      <c r="D428" t="s">
        <v>18</v>
      </c>
      <c r="E428">
        <v>480</v>
      </c>
      <c r="F428">
        <v>103</v>
      </c>
      <c r="G428">
        <v>1375</v>
      </c>
      <c r="H428">
        <v>1354</v>
      </c>
      <c r="I428">
        <v>21</v>
      </c>
      <c r="J428">
        <v>13.2</v>
      </c>
      <c r="K428">
        <v>377</v>
      </c>
      <c r="L428">
        <v>0.78541666666666665</v>
      </c>
      <c r="M428">
        <v>0.80238726790450932</v>
      </c>
      <c r="N428">
        <v>0.98472727272727267</v>
      </c>
      <c r="O428">
        <v>0.62058333333333338</v>
      </c>
    </row>
    <row r="429" spans="1:15" x14ac:dyDescent="0.3">
      <c r="A429">
        <v>428</v>
      </c>
      <c r="B429" s="1">
        <v>45693</v>
      </c>
      <c r="C429" t="s">
        <v>20</v>
      </c>
      <c r="D429" t="s">
        <v>19</v>
      </c>
      <c r="E429">
        <v>480</v>
      </c>
      <c r="F429">
        <v>0</v>
      </c>
      <c r="G429">
        <v>1566</v>
      </c>
      <c r="H429">
        <v>1495</v>
      </c>
      <c r="I429">
        <v>71</v>
      </c>
      <c r="J429">
        <v>13.8</v>
      </c>
      <c r="K429">
        <v>480</v>
      </c>
      <c r="L429">
        <v>1</v>
      </c>
      <c r="M429">
        <v>0.75037500000000013</v>
      </c>
      <c r="N429">
        <v>0.954661558109834</v>
      </c>
      <c r="O429">
        <v>0.71635416666666685</v>
      </c>
    </row>
    <row r="430" spans="1:15" x14ac:dyDescent="0.3">
      <c r="A430">
        <v>429</v>
      </c>
      <c r="B430" s="1">
        <v>45693</v>
      </c>
      <c r="C430" t="s">
        <v>21</v>
      </c>
      <c r="D430" t="s">
        <v>16</v>
      </c>
      <c r="E430">
        <v>480</v>
      </c>
      <c r="F430">
        <v>104</v>
      </c>
      <c r="G430">
        <v>1514</v>
      </c>
      <c r="H430">
        <v>1473</v>
      </c>
      <c r="I430">
        <v>41</v>
      </c>
      <c r="J430">
        <v>12</v>
      </c>
      <c r="K430">
        <v>376</v>
      </c>
      <c r="L430">
        <v>0.78333333333333333</v>
      </c>
      <c r="M430">
        <v>0.80531914893617018</v>
      </c>
      <c r="N430">
        <v>0.97291941875825627</v>
      </c>
      <c r="O430">
        <v>0.61375000000000002</v>
      </c>
    </row>
    <row r="431" spans="1:15" x14ac:dyDescent="0.3">
      <c r="A431">
        <v>430</v>
      </c>
      <c r="B431" s="1">
        <v>45693</v>
      </c>
      <c r="C431" t="s">
        <v>21</v>
      </c>
      <c r="D431" t="s">
        <v>17</v>
      </c>
      <c r="E431">
        <v>480</v>
      </c>
      <c r="F431">
        <v>0</v>
      </c>
      <c r="G431">
        <v>1831</v>
      </c>
      <c r="H431">
        <v>1766</v>
      </c>
      <c r="I431">
        <v>65</v>
      </c>
      <c r="J431">
        <v>12.6</v>
      </c>
      <c r="K431">
        <v>480</v>
      </c>
      <c r="L431">
        <v>1</v>
      </c>
      <c r="M431">
        <v>0.8010624999999999</v>
      </c>
      <c r="N431">
        <v>0.96450027307482256</v>
      </c>
      <c r="O431">
        <v>0.7726249999999999</v>
      </c>
    </row>
    <row r="432" spans="1:15" x14ac:dyDescent="0.3">
      <c r="A432">
        <v>431</v>
      </c>
      <c r="B432" s="1">
        <v>45693</v>
      </c>
      <c r="C432" t="s">
        <v>21</v>
      </c>
      <c r="D432" t="s">
        <v>18</v>
      </c>
      <c r="E432">
        <v>480</v>
      </c>
      <c r="F432">
        <v>22</v>
      </c>
      <c r="G432">
        <v>1673</v>
      </c>
      <c r="H432">
        <v>1638</v>
      </c>
      <c r="I432">
        <v>35</v>
      </c>
      <c r="J432">
        <v>13.2</v>
      </c>
      <c r="K432">
        <v>458</v>
      </c>
      <c r="L432">
        <v>0.95416666666666672</v>
      </c>
      <c r="M432">
        <v>0.80362445414847161</v>
      </c>
      <c r="N432">
        <v>0.97907949790794979</v>
      </c>
      <c r="O432">
        <v>0.75075000000000014</v>
      </c>
    </row>
    <row r="433" spans="1:15" x14ac:dyDescent="0.3">
      <c r="A433">
        <v>432</v>
      </c>
      <c r="B433" s="1">
        <v>45693</v>
      </c>
      <c r="C433" t="s">
        <v>21</v>
      </c>
      <c r="D433" t="s">
        <v>19</v>
      </c>
      <c r="E433">
        <v>480</v>
      </c>
      <c r="F433">
        <v>82</v>
      </c>
      <c r="G433">
        <v>1461</v>
      </c>
      <c r="H433">
        <v>1383</v>
      </c>
      <c r="I433">
        <v>78</v>
      </c>
      <c r="J433">
        <v>13.8</v>
      </c>
      <c r="K433">
        <v>398</v>
      </c>
      <c r="L433">
        <v>0.82916666666666672</v>
      </c>
      <c r="M433">
        <v>0.84429648241206023</v>
      </c>
      <c r="N433">
        <v>0.94661190965092401</v>
      </c>
      <c r="O433">
        <v>0.66268749999999998</v>
      </c>
    </row>
    <row r="434" spans="1:15" x14ac:dyDescent="0.3">
      <c r="A434">
        <v>433</v>
      </c>
      <c r="B434" s="1">
        <v>45694</v>
      </c>
      <c r="C434" t="s">
        <v>15</v>
      </c>
      <c r="D434" t="s">
        <v>16</v>
      </c>
      <c r="E434">
        <v>480</v>
      </c>
      <c r="F434">
        <v>11</v>
      </c>
      <c r="G434">
        <v>2132</v>
      </c>
      <c r="H434">
        <v>2089</v>
      </c>
      <c r="I434">
        <v>43</v>
      </c>
      <c r="J434">
        <v>12</v>
      </c>
      <c r="K434">
        <v>469</v>
      </c>
      <c r="L434">
        <v>0.9770833333333333</v>
      </c>
      <c r="M434">
        <v>0.9091684434968017</v>
      </c>
      <c r="N434">
        <v>0.97983114446529085</v>
      </c>
      <c r="O434">
        <v>0.87041666666666673</v>
      </c>
    </row>
    <row r="435" spans="1:15" x14ac:dyDescent="0.3">
      <c r="A435">
        <v>434</v>
      </c>
      <c r="B435" s="1">
        <v>45694</v>
      </c>
      <c r="C435" t="s">
        <v>15</v>
      </c>
      <c r="D435" t="s">
        <v>17</v>
      </c>
      <c r="E435">
        <v>480</v>
      </c>
      <c r="F435">
        <v>80</v>
      </c>
      <c r="G435">
        <v>1458</v>
      </c>
      <c r="H435">
        <v>1409</v>
      </c>
      <c r="I435">
        <v>49</v>
      </c>
      <c r="J435">
        <v>12.6</v>
      </c>
      <c r="K435">
        <v>400</v>
      </c>
      <c r="L435">
        <v>0.83333333333333337</v>
      </c>
      <c r="M435">
        <v>0.76544999999999996</v>
      </c>
      <c r="N435">
        <v>0.96639231824417005</v>
      </c>
      <c r="O435">
        <v>0.61643749999999997</v>
      </c>
    </row>
    <row r="436" spans="1:15" x14ac:dyDescent="0.3">
      <c r="A436">
        <v>435</v>
      </c>
      <c r="B436" s="1">
        <v>45694</v>
      </c>
      <c r="C436" t="s">
        <v>15</v>
      </c>
      <c r="D436" t="s">
        <v>18</v>
      </c>
      <c r="E436">
        <v>480</v>
      </c>
      <c r="F436">
        <v>120</v>
      </c>
      <c r="G436">
        <v>1409</v>
      </c>
      <c r="H436">
        <v>1372</v>
      </c>
      <c r="I436">
        <v>37</v>
      </c>
      <c r="J436">
        <v>13.2</v>
      </c>
      <c r="K436">
        <v>360</v>
      </c>
      <c r="L436">
        <v>0.75</v>
      </c>
      <c r="M436">
        <v>0.86105555555555557</v>
      </c>
      <c r="N436">
        <v>0.97374024130589065</v>
      </c>
      <c r="O436">
        <v>0.62883333333333324</v>
      </c>
    </row>
    <row r="437" spans="1:15" x14ac:dyDescent="0.3">
      <c r="A437">
        <v>436</v>
      </c>
      <c r="B437" s="1">
        <v>45694</v>
      </c>
      <c r="C437" t="s">
        <v>15</v>
      </c>
      <c r="D437" t="s">
        <v>19</v>
      </c>
      <c r="E437">
        <v>480</v>
      </c>
      <c r="F437">
        <v>58</v>
      </c>
      <c r="G437">
        <v>1539</v>
      </c>
      <c r="H437">
        <v>1462</v>
      </c>
      <c r="I437">
        <v>77</v>
      </c>
      <c r="J437">
        <v>13.8</v>
      </c>
      <c r="K437">
        <v>422</v>
      </c>
      <c r="L437">
        <v>0.87916666666666665</v>
      </c>
      <c r="M437">
        <v>0.8387914691943128</v>
      </c>
      <c r="N437">
        <v>0.94996751137102009</v>
      </c>
      <c r="O437">
        <v>0.70054166666666662</v>
      </c>
    </row>
    <row r="438" spans="1:15" x14ac:dyDescent="0.3">
      <c r="A438">
        <v>437</v>
      </c>
      <c r="B438" s="1">
        <v>45694</v>
      </c>
      <c r="C438" t="s">
        <v>20</v>
      </c>
      <c r="D438" t="s">
        <v>16</v>
      </c>
      <c r="E438">
        <v>480</v>
      </c>
      <c r="F438">
        <v>94</v>
      </c>
      <c r="G438">
        <v>1620</v>
      </c>
      <c r="H438">
        <v>1560</v>
      </c>
      <c r="I438">
        <v>60</v>
      </c>
      <c r="J438">
        <v>12</v>
      </c>
      <c r="K438">
        <v>386</v>
      </c>
      <c r="L438">
        <v>0.8041666666666667</v>
      </c>
      <c r="M438">
        <v>0.8393782383419689</v>
      </c>
      <c r="N438">
        <v>0.96296296296296291</v>
      </c>
      <c r="O438">
        <v>0.65</v>
      </c>
    </row>
    <row r="439" spans="1:15" x14ac:dyDescent="0.3">
      <c r="A439">
        <v>438</v>
      </c>
      <c r="B439" s="1">
        <v>45694</v>
      </c>
      <c r="C439" t="s">
        <v>20</v>
      </c>
      <c r="D439" t="s">
        <v>17</v>
      </c>
      <c r="E439">
        <v>480</v>
      </c>
      <c r="F439">
        <v>5</v>
      </c>
      <c r="G439">
        <v>1891</v>
      </c>
      <c r="H439">
        <v>1797</v>
      </c>
      <c r="I439">
        <v>94</v>
      </c>
      <c r="J439">
        <v>12.6</v>
      </c>
      <c r="K439">
        <v>475</v>
      </c>
      <c r="L439">
        <v>0.98958333333333337</v>
      </c>
      <c r="M439">
        <v>0.83602105263157889</v>
      </c>
      <c r="N439">
        <v>0.95029085140137493</v>
      </c>
      <c r="O439">
        <v>0.78618750000000004</v>
      </c>
    </row>
    <row r="440" spans="1:15" x14ac:dyDescent="0.3">
      <c r="A440">
        <v>439</v>
      </c>
      <c r="B440" s="1">
        <v>45694</v>
      </c>
      <c r="C440" t="s">
        <v>20</v>
      </c>
      <c r="D440" t="s">
        <v>18</v>
      </c>
      <c r="E440">
        <v>480</v>
      </c>
      <c r="F440">
        <v>36</v>
      </c>
      <c r="G440">
        <v>1849</v>
      </c>
      <c r="H440">
        <v>1770</v>
      </c>
      <c r="I440">
        <v>79</v>
      </c>
      <c r="J440">
        <v>13.2</v>
      </c>
      <c r="K440">
        <v>444</v>
      </c>
      <c r="L440">
        <v>0.92500000000000004</v>
      </c>
      <c r="M440">
        <v>0.91617117117117119</v>
      </c>
      <c r="N440">
        <v>0.95727420227149806</v>
      </c>
      <c r="O440">
        <v>0.81125000000000003</v>
      </c>
    </row>
    <row r="441" spans="1:15" x14ac:dyDescent="0.3">
      <c r="A441">
        <v>440</v>
      </c>
      <c r="B441" s="1">
        <v>45694</v>
      </c>
      <c r="C441" t="s">
        <v>20</v>
      </c>
      <c r="D441" t="s">
        <v>19</v>
      </c>
      <c r="E441">
        <v>480</v>
      </c>
      <c r="F441">
        <v>48</v>
      </c>
      <c r="G441">
        <v>1617</v>
      </c>
      <c r="H441">
        <v>1601</v>
      </c>
      <c r="I441">
        <v>16</v>
      </c>
      <c r="J441">
        <v>13.8</v>
      </c>
      <c r="K441">
        <v>432</v>
      </c>
      <c r="L441">
        <v>0.9</v>
      </c>
      <c r="M441">
        <v>0.86090277777777791</v>
      </c>
      <c r="N441">
        <v>0.99010513296227587</v>
      </c>
      <c r="O441">
        <v>0.76714583333333353</v>
      </c>
    </row>
    <row r="442" spans="1:15" x14ac:dyDescent="0.3">
      <c r="A442">
        <v>441</v>
      </c>
      <c r="B442" s="1">
        <v>45694</v>
      </c>
      <c r="C442" t="s">
        <v>21</v>
      </c>
      <c r="D442" t="s">
        <v>16</v>
      </c>
      <c r="E442">
        <v>480</v>
      </c>
      <c r="F442">
        <v>43</v>
      </c>
      <c r="G442">
        <v>1709</v>
      </c>
      <c r="H442">
        <v>1635</v>
      </c>
      <c r="I442">
        <v>74</v>
      </c>
      <c r="J442">
        <v>12</v>
      </c>
      <c r="K442">
        <v>437</v>
      </c>
      <c r="L442">
        <v>0.91041666666666665</v>
      </c>
      <c r="M442">
        <v>0.78215102974828377</v>
      </c>
      <c r="N442">
        <v>0.95669982445874779</v>
      </c>
      <c r="O442">
        <v>0.68124999999999991</v>
      </c>
    </row>
    <row r="443" spans="1:15" x14ac:dyDescent="0.3">
      <c r="A443">
        <v>442</v>
      </c>
      <c r="B443" s="1">
        <v>45694</v>
      </c>
      <c r="C443" t="s">
        <v>21</v>
      </c>
      <c r="D443" t="s">
        <v>17</v>
      </c>
      <c r="E443">
        <v>480</v>
      </c>
      <c r="F443">
        <v>170</v>
      </c>
      <c r="G443">
        <v>1364</v>
      </c>
      <c r="H443">
        <v>1310</v>
      </c>
      <c r="I443">
        <v>54</v>
      </c>
      <c r="J443">
        <v>12.6</v>
      </c>
      <c r="K443">
        <v>310</v>
      </c>
      <c r="L443">
        <v>0.64583333333333337</v>
      </c>
      <c r="M443">
        <v>0.92399999999999993</v>
      </c>
      <c r="N443">
        <v>0.96041055718475077</v>
      </c>
      <c r="O443">
        <v>0.573125</v>
      </c>
    </row>
    <row r="444" spans="1:15" x14ac:dyDescent="0.3">
      <c r="A444">
        <v>443</v>
      </c>
      <c r="B444" s="1">
        <v>45694</v>
      </c>
      <c r="C444" t="s">
        <v>21</v>
      </c>
      <c r="D444" t="s">
        <v>18</v>
      </c>
      <c r="E444">
        <v>480</v>
      </c>
      <c r="F444">
        <v>53</v>
      </c>
      <c r="G444">
        <v>1563</v>
      </c>
      <c r="H444">
        <v>1531</v>
      </c>
      <c r="I444">
        <v>32</v>
      </c>
      <c r="J444">
        <v>13.2</v>
      </c>
      <c r="K444">
        <v>427</v>
      </c>
      <c r="L444">
        <v>0.88958333333333328</v>
      </c>
      <c r="M444">
        <v>0.80529274004683837</v>
      </c>
      <c r="N444">
        <v>0.97952655150351886</v>
      </c>
      <c r="O444">
        <v>0.70170833333333316</v>
      </c>
    </row>
    <row r="445" spans="1:15" x14ac:dyDescent="0.3">
      <c r="A445">
        <v>444</v>
      </c>
      <c r="B445" s="1">
        <v>45694</v>
      </c>
      <c r="C445" t="s">
        <v>21</v>
      </c>
      <c r="D445" t="s">
        <v>19</v>
      </c>
      <c r="E445">
        <v>480</v>
      </c>
      <c r="F445">
        <v>19</v>
      </c>
      <c r="G445">
        <v>1882</v>
      </c>
      <c r="H445">
        <v>1802</v>
      </c>
      <c r="I445">
        <v>80</v>
      </c>
      <c r="J445">
        <v>13.8</v>
      </c>
      <c r="K445">
        <v>461</v>
      </c>
      <c r="L445">
        <v>0.9604166666666667</v>
      </c>
      <c r="M445">
        <v>0.93895878524945775</v>
      </c>
      <c r="N445">
        <v>0.95749202975557912</v>
      </c>
      <c r="O445">
        <v>0.86345833333333344</v>
      </c>
    </row>
    <row r="446" spans="1:15" x14ac:dyDescent="0.3">
      <c r="A446">
        <v>445</v>
      </c>
      <c r="B446" s="1">
        <v>45695</v>
      </c>
      <c r="C446" t="s">
        <v>15</v>
      </c>
      <c r="D446" t="s">
        <v>16</v>
      </c>
      <c r="E446">
        <v>480</v>
      </c>
      <c r="F446">
        <v>9</v>
      </c>
      <c r="G446">
        <v>2274</v>
      </c>
      <c r="H446">
        <v>2179</v>
      </c>
      <c r="I446">
        <v>95</v>
      </c>
      <c r="J446">
        <v>12</v>
      </c>
      <c r="K446">
        <v>471</v>
      </c>
      <c r="L446">
        <v>0.98124999999999996</v>
      </c>
      <c r="M446">
        <v>0.96560509554140128</v>
      </c>
      <c r="N446">
        <v>0.95822339489885666</v>
      </c>
      <c r="O446">
        <v>0.90791666666666671</v>
      </c>
    </row>
    <row r="447" spans="1:15" x14ac:dyDescent="0.3">
      <c r="A447">
        <v>446</v>
      </c>
      <c r="B447" s="1">
        <v>45695</v>
      </c>
      <c r="C447" t="s">
        <v>15</v>
      </c>
      <c r="D447" t="s">
        <v>17</v>
      </c>
      <c r="E447">
        <v>480</v>
      </c>
      <c r="F447">
        <v>53</v>
      </c>
      <c r="G447">
        <v>1627</v>
      </c>
      <c r="H447">
        <v>1563</v>
      </c>
      <c r="I447">
        <v>64</v>
      </c>
      <c r="J447">
        <v>12.6</v>
      </c>
      <c r="K447">
        <v>427</v>
      </c>
      <c r="L447">
        <v>0.88958333333333328</v>
      </c>
      <c r="M447">
        <v>0.80016393442622957</v>
      </c>
      <c r="N447">
        <v>0.96066379840196681</v>
      </c>
      <c r="O447">
        <v>0.68381250000000005</v>
      </c>
    </row>
    <row r="448" spans="1:15" x14ac:dyDescent="0.3">
      <c r="A448">
        <v>447</v>
      </c>
      <c r="B448" s="1">
        <v>45695</v>
      </c>
      <c r="C448" t="s">
        <v>15</v>
      </c>
      <c r="D448" t="s">
        <v>18</v>
      </c>
      <c r="E448">
        <v>480</v>
      </c>
      <c r="F448">
        <v>22</v>
      </c>
      <c r="G448">
        <v>1925</v>
      </c>
      <c r="H448">
        <v>1888</v>
      </c>
      <c r="I448">
        <v>37</v>
      </c>
      <c r="J448">
        <v>13.2</v>
      </c>
      <c r="K448">
        <v>458</v>
      </c>
      <c r="L448">
        <v>0.95416666666666672</v>
      </c>
      <c r="M448">
        <v>0.9246724890829694</v>
      </c>
      <c r="N448">
        <v>0.98077922077922075</v>
      </c>
      <c r="O448">
        <v>0.86533333333333329</v>
      </c>
    </row>
    <row r="449" spans="1:15" x14ac:dyDescent="0.3">
      <c r="A449">
        <v>448</v>
      </c>
      <c r="B449" s="1">
        <v>45695</v>
      </c>
      <c r="C449" t="s">
        <v>15</v>
      </c>
      <c r="D449" t="s">
        <v>19</v>
      </c>
      <c r="E449">
        <v>480</v>
      </c>
      <c r="F449">
        <v>0</v>
      </c>
      <c r="G449">
        <v>1900</v>
      </c>
      <c r="H449">
        <v>1847</v>
      </c>
      <c r="I449">
        <v>53</v>
      </c>
      <c r="J449">
        <v>13.8</v>
      </c>
      <c r="K449">
        <v>480</v>
      </c>
      <c r="L449">
        <v>1</v>
      </c>
      <c r="M449">
        <v>0.91041666666666665</v>
      </c>
      <c r="N449">
        <v>0.97210526315789469</v>
      </c>
      <c r="O449">
        <v>0.88502083333333326</v>
      </c>
    </row>
    <row r="450" spans="1:15" x14ac:dyDescent="0.3">
      <c r="A450">
        <v>449</v>
      </c>
      <c r="B450" s="1">
        <v>45695</v>
      </c>
      <c r="C450" t="s">
        <v>20</v>
      </c>
      <c r="D450" t="s">
        <v>16</v>
      </c>
      <c r="E450">
        <v>480</v>
      </c>
      <c r="F450">
        <v>5</v>
      </c>
      <c r="G450">
        <v>2261</v>
      </c>
      <c r="H450">
        <v>2211</v>
      </c>
      <c r="I450">
        <v>50</v>
      </c>
      <c r="J450">
        <v>12</v>
      </c>
      <c r="K450">
        <v>475</v>
      </c>
      <c r="L450">
        <v>0.98958333333333337</v>
      </c>
      <c r="M450">
        <v>0.95199999999999996</v>
      </c>
      <c r="N450">
        <v>0.97788589119858471</v>
      </c>
      <c r="O450">
        <v>0.9212499999999999</v>
      </c>
    </row>
    <row r="451" spans="1:15" x14ac:dyDescent="0.3">
      <c r="A451">
        <v>450</v>
      </c>
      <c r="B451" s="1">
        <v>45695</v>
      </c>
      <c r="C451" t="s">
        <v>20</v>
      </c>
      <c r="D451" t="s">
        <v>17</v>
      </c>
      <c r="E451">
        <v>480</v>
      </c>
      <c r="F451">
        <v>11</v>
      </c>
      <c r="G451">
        <v>2136</v>
      </c>
      <c r="H451">
        <v>2020</v>
      </c>
      <c r="I451">
        <v>116</v>
      </c>
      <c r="J451">
        <v>12.6</v>
      </c>
      <c r="K451">
        <v>469</v>
      </c>
      <c r="L451">
        <v>0.9770833333333333</v>
      </c>
      <c r="M451">
        <v>0.95641791044776114</v>
      </c>
      <c r="N451">
        <v>0.94569288389513106</v>
      </c>
      <c r="O451">
        <v>0.88374999999999992</v>
      </c>
    </row>
    <row r="452" spans="1:15" x14ac:dyDescent="0.3">
      <c r="A452">
        <v>451</v>
      </c>
      <c r="B452" s="1">
        <v>45695</v>
      </c>
      <c r="C452" t="s">
        <v>20</v>
      </c>
      <c r="D452" t="s">
        <v>18</v>
      </c>
      <c r="E452">
        <v>480</v>
      </c>
      <c r="F452">
        <v>115</v>
      </c>
      <c r="G452">
        <v>1571</v>
      </c>
      <c r="H452">
        <v>1477</v>
      </c>
      <c r="I452">
        <v>94</v>
      </c>
      <c r="J452">
        <v>13.2</v>
      </c>
      <c r="K452">
        <v>365</v>
      </c>
      <c r="L452">
        <v>0.76041666666666663</v>
      </c>
      <c r="M452">
        <v>0.94690410958904092</v>
      </c>
      <c r="N452">
        <v>0.94016549968173135</v>
      </c>
      <c r="O452">
        <v>0.67695833333333311</v>
      </c>
    </row>
    <row r="453" spans="1:15" x14ac:dyDescent="0.3">
      <c r="A453">
        <v>452</v>
      </c>
      <c r="B453" s="1">
        <v>45695</v>
      </c>
      <c r="C453" t="s">
        <v>20</v>
      </c>
      <c r="D453" t="s">
        <v>19</v>
      </c>
      <c r="E453">
        <v>480</v>
      </c>
      <c r="F453">
        <v>5</v>
      </c>
      <c r="G453">
        <v>1559</v>
      </c>
      <c r="H453">
        <v>1516</v>
      </c>
      <c r="I453">
        <v>43</v>
      </c>
      <c r="J453">
        <v>13.8</v>
      </c>
      <c r="K453">
        <v>475</v>
      </c>
      <c r="L453">
        <v>0.98958333333333337</v>
      </c>
      <c r="M453">
        <v>0.75488421052631582</v>
      </c>
      <c r="N453">
        <v>0.97241821680564466</v>
      </c>
      <c r="O453">
        <v>0.72641666666666671</v>
      </c>
    </row>
    <row r="454" spans="1:15" x14ac:dyDescent="0.3">
      <c r="A454">
        <v>453</v>
      </c>
      <c r="B454" s="1">
        <v>45695</v>
      </c>
      <c r="C454" t="s">
        <v>21</v>
      </c>
      <c r="D454" t="s">
        <v>16</v>
      </c>
      <c r="E454">
        <v>480</v>
      </c>
      <c r="F454">
        <v>72</v>
      </c>
      <c r="G454">
        <v>1822</v>
      </c>
      <c r="H454">
        <v>1735</v>
      </c>
      <c r="I454">
        <v>87</v>
      </c>
      <c r="J454">
        <v>12</v>
      </c>
      <c r="K454">
        <v>408</v>
      </c>
      <c r="L454">
        <v>0.85</v>
      </c>
      <c r="M454">
        <v>0.89313725490196083</v>
      </c>
      <c r="N454">
        <v>0.95225027442371024</v>
      </c>
      <c r="O454">
        <v>0.72291666666666665</v>
      </c>
    </row>
    <row r="455" spans="1:15" x14ac:dyDescent="0.3">
      <c r="A455">
        <v>454</v>
      </c>
      <c r="B455" s="1">
        <v>45695</v>
      </c>
      <c r="C455" t="s">
        <v>21</v>
      </c>
      <c r="D455" t="s">
        <v>17</v>
      </c>
      <c r="E455">
        <v>480</v>
      </c>
      <c r="F455">
        <v>0</v>
      </c>
      <c r="G455">
        <v>2154</v>
      </c>
      <c r="H455">
        <v>2066</v>
      </c>
      <c r="I455">
        <v>88</v>
      </c>
      <c r="J455">
        <v>12.6</v>
      </c>
      <c r="K455">
        <v>480</v>
      </c>
      <c r="L455">
        <v>1</v>
      </c>
      <c r="M455">
        <v>0.94237499999999996</v>
      </c>
      <c r="N455">
        <v>0.95914577530176415</v>
      </c>
      <c r="O455">
        <v>0.90387499999999998</v>
      </c>
    </row>
    <row r="456" spans="1:15" x14ac:dyDescent="0.3">
      <c r="A456">
        <v>455</v>
      </c>
      <c r="B456" s="1">
        <v>45695</v>
      </c>
      <c r="C456" t="s">
        <v>21</v>
      </c>
      <c r="D456" t="s">
        <v>18</v>
      </c>
      <c r="E456">
        <v>480</v>
      </c>
      <c r="F456">
        <v>115</v>
      </c>
      <c r="G456">
        <v>1331</v>
      </c>
      <c r="H456">
        <v>1278</v>
      </c>
      <c r="I456">
        <v>53</v>
      </c>
      <c r="J456">
        <v>13.2</v>
      </c>
      <c r="K456">
        <v>365</v>
      </c>
      <c r="L456">
        <v>0.76041666666666663</v>
      </c>
      <c r="M456">
        <v>0.8022465753424658</v>
      </c>
      <c r="N456">
        <v>0.96018031555221639</v>
      </c>
      <c r="O456">
        <v>0.58574999999999999</v>
      </c>
    </row>
    <row r="457" spans="1:15" x14ac:dyDescent="0.3">
      <c r="A457">
        <v>456</v>
      </c>
      <c r="B457" s="1">
        <v>45695</v>
      </c>
      <c r="C457" t="s">
        <v>21</v>
      </c>
      <c r="D457" t="s">
        <v>19</v>
      </c>
      <c r="E457">
        <v>480</v>
      </c>
      <c r="F457">
        <v>324</v>
      </c>
      <c r="G457">
        <v>601</v>
      </c>
      <c r="H457">
        <v>594</v>
      </c>
      <c r="I457">
        <v>7</v>
      </c>
      <c r="J457">
        <v>13.8</v>
      </c>
      <c r="K457">
        <v>156</v>
      </c>
      <c r="L457">
        <v>0.32500000000000001</v>
      </c>
      <c r="M457">
        <v>0.88608974358974368</v>
      </c>
      <c r="N457">
        <v>0.98835274542429286</v>
      </c>
      <c r="O457">
        <v>0.28462500000000007</v>
      </c>
    </row>
    <row r="458" spans="1:15" x14ac:dyDescent="0.3">
      <c r="A458">
        <v>457</v>
      </c>
      <c r="B458" s="1">
        <v>45696</v>
      </c>
      <c r="C458" t="s">
        <v>15</v>
      </c>
      <c r="D458" t="s">
        <v>16</v>
      </c>
      <c r="E458">
        <v>480</v>
      </c>
      <c r="F458">
        <v>87</v>
      </c>
      <c r="G458">
        <v>1785</v>
      </c>
      <c r="H458">
        <v>1705</v>
      </c>
      <c r="I458">
        <v>80</v>
      </c>
      <c r="J458">
        <v>12</v>
      </c>
      <c r="K458">
        <v>393</v>
      </c>
      <c r="L458">
        <v>0.81874999999999998</v>
      </c>
      <c r="M458">
        <v>0.90839694656488545</v>
      </c>
      <c r="N458">
        <v>0.9551820728291317</v>
      </c>
      <c r="O458">
        <v>0.71041666666666659</v>
      </c>
    </row>
    <row r="459" spans="1:15" x14ac:dyDescent="0.3">
      <c r="A459">
        <v>458</v>
      </c>
      <c r="B459" s="1">
        <v>45696</v>
      </c>
      <c r="C459" t="s">
        <v>15</v>
      </c>
      <c r="D459" t="s">
        <v>17</v>
      </c>
      <c r="E459">
        <v>480</v>
      </c>
      <c r="F459">
        <v>45</v>
      </c>
      <c r="G459">
        <v>1839</v>
      </c>
      <c r="H459">
        <v>1805</v>
      </c>
      <c r="I459">
        <v>34</v>
      </c>
      <c r="J459">
        <v>12.6</v>
      </c>
      <c r="K459">
        <v>435</v>
      </c>
      <c r="L459">
        <v>0.90625</v>
      </c>
      <c r="M459">
        <v>0.88779310344827578</v>
      </c>
      <c r="N459">
        <v>0.98151169113648717</v>
      </c>
      <c r="O459">
        <v>0.78968749999999988</v>
      </c>
    </row>
    <row r="460" spans="1:15" x14ac:dyDescent="0.3">
      <c r="A460">
        <v>459</v>
      </c>
      <c r="B460" s="1">
        <v>45696</v>
      </c>
      <c r="C460" t="s">
        <v>15</v>
      </c>
      <c r="D460" t="s">
        <v>18</v>
      </c>
      <c r="E460">
        <v>480</v>
      </c>
      <c r="F460">
        <v>72</v>
      </c>
      <c r="G460">
        <v>1650</v>
      </c>
      <c r="H460">
        <v>1576</v>
      </c>
      <c r="I460">
        <v>74</v>
      </c>
      <c r="J460">
        <v>13.2</v>
      </c>
      <c r="K460">
        <v>408</v>
      </c>
      <c r="L460">
        <v>0.85</v>
      </c>
      <c r="M460">
        <v>0.88970588235294112</v>
      </c>
      <c r="N460">
        <v>0.9551515151515152</v>
      </c>
      <c r="O460">
        <v>0.72233333333333338</v>
      </c>
    </row>
    <row r="461" spans="1:15" x14ac:dyDescent="0.3">
      <c r="A461">
        <v>460</v>
      </c>
      <c r="B461" s="1">
        <v>45696</v>
      </c>
      <c r="C461" t="s">
        <v>15</v>
      </c>
      <c r="D461" t="s">
        <v>19</v>
      </c>
      <c r="E461">
        <v>480</v>
      </c>
      <c r="F461">
        <v>40</v>
      </c>
      <c r="G461">
        <v>1457</v>
      </c>
      <c r="H461">
        <v>1441</v>
      </c>
      <c r="I461">
        <v>16</v>
      </c>
      <c r="J461">
        <v>13.8</v>
      </c>
      <c r="K461">
        <v>440</v>
      </c>
      <c r="L461">
        <v>0.91666666666666663</v>
      </c>
      <c r="M461">
        <v>0.76161363636363644</v>
      </c>
      <c r="N461">
        <v>0.98901853122855177</v>
      </c>
      <c r="O461">
        <v>0.69047916666666664</v>
      </c>
    </row>
    <row r="462" spans="1:15" x14ac:dyDescent="0.3">
      <c r="A462">
        <v>461</v>
      </c>
      <c r="B462" s="1">
        <v>45696</v>
      </c>
      <c r="C462" t="s">
        <v>20</v>
      </c>
      <c r="D462" t="s">
        <v>16</v>
      </c>
      <c r="E462">
        <v>480</v>
      </c>
      <c r="F462">
        <v>63</v>
      </c>
      <c r="G462">
        <v>1987</v>
      </c>
      <c r="H462">
        <v>1902</v>
      </c>
      <c r="I462">
        <v>85</v>
      </c>
      <c r="J462">
        <v>12</v>
      </c>
      <c r="K462">
        <v>417</v>
      </c>
      <c r="L462">
        <v>0.86875000000000002</v>
      </c>
      <c r="M462">
        <v>0.95299760191846528</v>
      </c>
      <c r="N462">
        <v>0.95722194262707594</v>
      </c>
      <c r="O462">
        <v>0.79249999999999998</v>
      </c>
    </row>
    <row r="463" spans="1:15" x14ac:dyDescent="0.3">
      <c r="A463">
        <v>462</v>
      </c>
      <c r="B463" s="1">
        <v>45696</v>
      </c>
      <c r="C463" t="s">
        <v>20</v>
      </c>
      <c r="D463" t="s">
        <v>17</v>
      </c>
      <c r="E463">
        <v>480</v>
      </c>
      <c r="F463">
        <v>0</v>
      </c>
      <c r="G463">
        <v>2167</v>
      </c>
      <c r="H463">
        <v>2050</v>
      </c>
      <c r="I463">
        <v>117</v>
      </c>
      <c r="J463">
        <v>12.6</v>
      </c>
      <c r="K463">
        <v>480</v>
      </c>
      <c r="L463">
        <v>1</v>
      </c>
      <c r="M463">
        <v>0.94806250000000003</v>
      </c>
      <c r="N463">
        <v>0.94600830641439781</v>
      </c>
      <c r="O463">
        <v>0.89687500000000009</v>
      </c>
    </row>
    <row r="464" spans="1:15" x14ac:dyDescent="0.3">
      <c r="A464">
        <v>463</v>
      </c>
      <c r="B464" s="1">
        <v>45696</v>
      </c>
      <c r="C464" t="s">
        <v>20</v>
      </c>
      <c r="D464" t="s">
        <v>18</v>
      </c>
      <c r="E464">
        <v>480</v>
      </c>
      <c r="F464">
        <v>0</v>
      </c>
      <c r="G464">
        <v>2006</v>
      </c>
      <c r="H464">
        <v>1958</v>
      </c>
      <c r="I464">
        <v>48</v>
      </c>
      <c r="J464">
        <v>13.2</v>
      </c>
      <c r="K464">
        <v>480</v>
      </c>
      <c r="L464">
        <v>1</v>
      </c>
      <c r="M464">
        <v>0.91941666666666655</v>
      </c>
      <c r="N464">
        <v>0.97607178464606181</v>
      </c>
      <c r="O464">
        <v>0.89741666666666653</v>
      </c>
    </row>
    <row r="465" spans="1:15" x14ac:dyDescent="0.3">
      <c r="A465">
        <v>464</v>
      </c>
      <c r="B465" s="1">
        <v>45696</v>
      </c>
      <c r="C465" t="s">
        <v>20</v>
      </c>
      <c r="D465" t="s">
        <v>19</v>
      </c>
      <c r="E465">
        <v>480</v>
      </c>
      <c r="F465">
        <v>61</v>
      </c>
      <c r="G465">
        <v>1721</v>
      </c>
      <c r="H465">
        <v>1699</v>
      </c>
      <c r="I465">
        <v>22</v>
      </c>
      <c r="J465">
        <v>13.8</v>
      </c>
      <c r="K465">
        <v>419</v>
      </c>
      <c r="L465">
        <v>0.87291666666666667</v>
      </c>
      <c r="M465">
        <v>0.94470167064439148</v>
      </c>
      <c r="N465">
        <v>0.98721673445671121</v>
      </c>
      <c r="O465">
        <v>0.81410416666666674</v>
      </c>
    </row>
    <row r="466" spans="1:15" x14ac:dyDescent="0.3">
      <c r="A466">
        <v>465</v>
      </c>
      <c r="B466" s="1">
        <v>45696</v>
      </c>
      <c r="C466" t="s">
        <v>21</v>
      </c>
      <c r="D466" t="s">
        <v>16</v>
      </c>
      <c r="E466">
        <v>480</v>
      </c>
      <c r="F466">
        <v>101</v>
      </c>
      <c r="G466">
        <v>1792</v>
      </c>
      <c r="H466">
        <v>1691</v>
      </c>
      <c r="I466">
        <v>101</v>
      </c>
      <c r="J466">
        <v>12</v>
      </c>
      <c r="K466">
        <v>379</v>
      </c>
      <c r="L466">
        <v>0.7895833333333333</v>
      </c>
      <c r="M466">
        <v>0.94564643799472292</v>
      </c>
      <c r="N466">
        <v>0.9436383928571429</v>
      </c>
      <c r="O466">
        <v>0.70458333333333334</v>
      </c>
    </row>
    <row r="467" spans="1:15" x14ac:dyDescent="0.3">
      <c r="A467">
        <v>466</v>
      </c>
      <c r="B467" s="1">
        <v>45696</v>
      </c>
      <c r="C467" t="s">
        <v>21</v>
      </c>
      <c r="D467" t="s">
        <v>17</v>
      </c>
      <c r="E467">
        <v>480</v>
      </c>
      <c r="F467">
        <v>0</v>
      </c>
      <c r="G467">
        <v>1916</v>
      </c>
      <c r="H467">
        <v>1891</v>
      </c>
      <c r="I467">
        <v>25</v>
      </c>
      <c r="J467">
        <v>12.6</v>
      </c>
      <c r="K467">
        <v>480</v>
      </c>
      <c r="L467">
        <v>1</v>
      </c>
      <c r="M467">
        <v>0.83824999999999994</v>
      </c>
      <c r="N467">
        <v>0.98695198329853862</v>
      </c>
      <c r="O467">
        <v>0.8273124999999999</v>
      </c>
    </row>
    <row r="468" spans="1:15" x14ac:dyDescent="0.3">
      <c r="A468">
        <v>467</v>
      </c>
      <c r="B468" s="1">
        <v>45696</v>
      </c>
      <c r="C468" t="s">
        <v>21</v>
      </c>
      <c r="D468" t="s">
        <v>18</v>
      </c>
      <c r="E468">
        <v>480</v>
      </c>
      <c r="F468">
        <v>0</v>
      </c>
      <c r="G468">
        <v>1751</v>
      </c>
      <c r="H468">
        <v>1693</v>
      </c>
      <c r="I468">
        <v>58</v>
      </c>
      <c r="J468">
        <v>13.2</v>
      </c>
      <c r="K468">
        <v>480</v>
      </c>
      <c r="L468">
        <v>1</v>
      </c>
      <c r="M468">
        <v>0.8025416666666666</v>
      </c>
      <c r="N468">
        <v>0.96687607081667615</v>
      </c>
      <c r="O468">
        <v>0.77595833333333319</v>
      </c>
    </row>
    <row r="469" spans="1:15" x14ac:dyDescent="0.3">
      <c r="A469">
        <v>468</v>
      </c>
      <c r="B469" s="1">
        <v>45696</v>
      </c>
      <c r="C469" t="s">
        <v>21</v>
      </c>
      <c r="D469" t="s">
        <v>19</v>
      </c>
      <c r="E469">
        <v>480</v>
      </c>
      <c r="F469">
        <v>7</v>
      </c>
      <c r="G469">
        <v>2002</v>
      </c>
      <c r="H469">
        <v>1906</v>
      </c>
      <c r="I469">
        <v>96</v>
      </c>
      <c r="J469">
        <v>13.8</v>
      </c>
      <c r="K469">
        <v>473</v>
      </c>
      <c r="L469">
        <v>0.98541666666666672</v>
      </c>
      <c r="M469">
        <v>0.9734883720930233</v>
      </c>
      <c r="N469">
        <v>0.95204795204795201</v>
      </c>
      <c r="O469">
        <v>0.91329166666666672</v>
      </c>
    </row>
    <row r="470" spans="1:15" x14ac:dyDescent="0.3">
      <c r="A470">
        <v>469</v>
      </c>
      <c r="B470" s="1">
        <v>45697</v>
      </c>
      <c r="C470" t="s">
        <v>15</v>
      </c>
      <c r="D470" t="s">
        <v>16</v>
      </c>
      <c r="E470">
        <v>480</v>
      </c>
      <c r="F470">
        <v>16</v>
      </c>
      <c r="G470">
        <v>1809</v>
      </c>
      <c r="H470">
        <v>1768</v>
      </c>
      <c r="I470">
        <v>41</v>
      </c>
      <c r="J470">
        <v>12</v>
      </c>
      <c r="K470">
        <v>464</v>
      </c>
      <c r="L470">
        <v>0.96666666666666667</v>
      </c>
      <c r="M470">
        <v>0.77974137931034482</v>
      </c>
      <c r="N470">
        <v>0.9773355444997236</v>
      </c>
      <c r="O470">
        <v>0.73666666666666669</v>
      </c>
    </row>
    <row r="471" spans="1:15" x14ac:dyDescent="0.3">
      <c r="A471">
        <v>470</v>
      </c>
      <c r="B471" s="1">
        <v>45697</v>
      </c>
      <c r="C471" t="s">
        <v>15</v>
      </c>
      <c r="D471" t="s">
        <v>17</v>
      </c>
      <c r="E471">
        <v>480</v>
      </c>
      <c r="F471">
        <v>92</v>
      </c>
      <c r="G471">
        <v>1753</v>
      </c>
      <c r="H471">
        <v>1722</v>
      </c>
      <c r="I471">
        <v>31</v>
      </c>
      <c r="J471">
        <v>12.6</v>
      </c>
      <c r="K471">
        <v>388</v>
      </c>
      <c r="L471">
        <v>0.80833333333333335</v>
      </c>
      <c r="M471">
        <v>0.94878865979381444</v>
      </c>
      <c r="N471">
        <v>0.98231602966343412</v>
      </c>
      <c r="O471">
        <v>0.75337500000000002</v>
      </c>
    </row>
    <row r="472" spans="1:15" x14ac:dyDescent="0.3">
      <c r="A472">
        <v>471</v>
      </c>
      <c r="B472" s="1">
        <v>45697</v>
      </c>
      <c r="C472" t="s">
        <v>15</v>
      </c>
      <c r="D472" t="s">
        <v>18</v>
      </c>
      <c r="E472">
        <v>480</v>
      </c>
      <c r="F472">
        <v>0</v>
      </c>
      <c r="G472">
        <v>1879</v>
      </c>
      <c r="H472">
        <v>1832</v>
      </c>
      <c r="I472">
        <v>47</v>
      </c>
      <c r="J472">
        <v>13.2</v>
      </c>
      <c r="K472">
        <v>480</v>
      </c>
      <c r="L472">
        <v>1</v>
      </c>
      <c r="M472">
        <v>0.86120833333333335</v>
      </c>
      <c r="N472">
        <v>0.97498669505055879</v>
      </c>
      <c r="O472">
        <v>0.83966666666666667</v>
      </c>
    </row>
    <row r="473" spans="1:15" x14ac:dyDescent="0.3">
      <c r="A473">
        <v>472</v>
      </c>
      <c r="B473" s="1">
        <v>45697</v>
      </c>
      <c r="C473" t="s">
        <v>15</v>
      </c>
      <c r="D473" t="s">
        <v>19</v>
      </c>
      <c r="E473">
        <v>480</v>
      </c>
      <c r="F473">
        <v>58</v>
      </c>
      <c r="G473">
        <v>1491</v>
      </c>
      <c r="H473">
        <v>1440</v>
      </c>
      <c r="I473">
        <v>51</v>
      </c>
      <c r="J473">
        <v>13.8</v>
      </c>
      <c r="K473">
        <v>422</v>
      </c>
      <c r="L473">
        <v>0.87916666666666665</v>
      </c>
      <c r="M473">
        <v>0.81263033175355448</v>
      </c>
      <c r="N473">
        <v>0.96579476861167002</v>
      </c>
      <c r="O473">
        <v>0.69</v>
      </c>
    </row>
    <row r="474" spans="1:15" x14ac:dyDescent="0.3">
      <c r="A474">
        <v>473</v>
      </c>
      <c r="B474" s="1">
        <v>45697</v>
      </c>
      <c r="C474" t="s">
        <v>20</v>
      </c>
      <c r="D474" t="s">
        <v>16</v>
      </c>
      <c r="E474">
        <v>480</v>
      </c>
      <c r="F474">
        <v>0</v>
      </c>
      <c r="G474">
        <v>2053</v>
      </c>
      <c r="H474">
        <v>2002</v>
      </c>
      <c r="I474">
        <v>51</v>
      </c>
      <c r="J474">
        <v>12</v>
      </c>
      <c r="K474">
        <v>480</v>
      </c>
      <c r="L474">
        <v>1</v>
      </c>
      <c r="M474">
        <v>0.85541666666666671</v>
      </c>
      <c r="N474">
        <v>0.97515830491962985</v>
      </c>
      <c r="O474">
        <v>0.83416666666666672</v>
      </c>
    </row>
    <row r="475" spans="1:15" x14ac:dyDescent="0.3">
      <c r="A475">
        <v>474</v>
      </c>
      <c r="B475" s="1">
        <v>45697</v>
      </c>
      <c r="C475" t="s">
        <v>20</v>
      </c>
      <c r="D475" t="s">
        <v>17</v>
      </c>
      <c r="E475">
        <v>480</v>
      </c>
      <c r="F475">
        <v>12</v>
      </c>
      <c r="G475">
        <v>2043</v>
      </c>
      <c r="H475">
        <v>1964</v>
      </c>
      <c r="I475">
        <v>79</v>
      </c>
      <c r="J475">
        <v>12.6</v>
      </c>
      <c r="K475">
        <v>468</v>
      </c>
      <c r="L475">
        <v>0.97499999999999998</v>
      </c>
      <c r="M475">
        <v>0.91673076923076924</v>
      </c>
      <c r="N475">
        <v>0.96133137542829172</v>
      </c>
      <c r="O475">
        <v>0.85924999999999996</v>
      </c>
    </row>
    <row r="476" spans="1:15" x14ac:dyDescent="0.3">
      <c r="A476">
        <v>475</v>
      </c>
      <c r="B476" s="1">
        <v>45697</v>
      </c>
      <c r="C476" t="s">
        <v>20</v>
      </c>
      <c r="D476" t="s">
        <v>18</v>
      </c>
      <c r="E476">
        <v>480</v>
      </c>
      <c r="F476">
        <v>173</v>
      </c>
      <c r="G476">
        <v>1203</v>
      </c>
      <c r="H476">
        <v>1147</v>
      </c>
      <c r="I476">
        <v>56</v>
      </c>
      <c r="J476">
        <v>13.2</v>
      </c>
      <c r="K476">
        <v>307</v>
      </c>
      <c r="L476">
        <v>0.63958333333333328</v>
      </c>
      <c r="M476">
        <v>0.86208469055374581</v>
      </c>
      <c r="N476">
        <v>0.9534497090606816</v>
      </c>
      <c r="O476">
        <v>0.52570833333333311</v>
      </c>
    </row>
    <row r="477" spans="1:15" x14ac:dyDescent="0.3">
      <c r="A477">
        <v>476</v>
      </c>
      <c r="B477" s="1">
        <v>45697</v>
      </c>
      <c r="C477" t="s">
        <v>20</v>
      </c>
      <c r="D477" t="s">
        <v>19</v>
      </c>
      <c r="E477">
        <v>480</v>
      </c>
      <c r="F477">
        <v>46</v>
      </c>
      <c r="G477">
        <v>1612</v>
      </c>
      <c r="H477">
        <v>1535</v>
      </c>
      <c r="I477">
        <v>77</v>
      </c>
      <c r="J477">
        <v>13.8</v>
      </c>
      <c r="K477">
        <v>434</v>
      </c>
      <c r="L477">
        <v>0.90416666666666667</v>
      </c>
      <c r="M477">
        <v>0.85428571428571431</v>
      </c>
      <c r="N477">
        <v>0.95223325062034736</v>
      </c>
      <c r="O477">
        <v>0.7355208333333334</v>
      </c>
    </row>
    <row r="478" spans="1:15" x14ac:dyDescent="0.3">
      <c r="A478">
        <v>477</v>
      </c>
      <c r="B478" s="1">
        <v>45697</v>
      </c>
      <c r="C478" t="s">
        <v>21</v>
      </c>
      <c r="D478" t="s">
        <v>16</v>
      </c>
      <c r="E478">
        <v>480</v>
      </c>
      <c r="F478">
        <v>0</v>
      </c>
      <c r="G478">
        <v>1908</v>
      </c>
      <c r="H478">
        <v>1799</v>
      </c>
      <c r="I478">
        <v>109</v>
      </c>
      <c r="J478">
        <v>12</v>
      </c>
      <c r="K478">
        <v>480</v>
      </c>
      <c r="L478">
        <v>1</v>
      </c>
      <c r="M478">
        <v>0.79500000000000004</v>
      </c>
      <c r="N478">
        <v>0.94287211740041932</v>
      </c>
      <c r="O478">
        <v>0.74958333333333338</v>
      </c>
    </row>
    <row r="479" spans="1:15" x14ac:dyDescent="0.3">
      <c r="A479">
        <v>478</v>
      </c>
      <c r="B479" s="1">
        <v>45697</v>
      </c>
      <c r="C479" t="s">
        <v>21</v>
      </c>
      <c r="D479" t="s">
        <v>17</v>
      </c>
      <c r="E479">
        <v>480</v>
      </c>
      <c r="F479">
        <v>0</v>
      </c>
      <c r="G479">
        <v>2012</v>
      </c>
      <c r="H479">
        <v>1934</v>
      </c>
      <c r="I479">
        <v>78</v>
      </c>
      <c r="J479">
        <v>12.6</v>
      </c>
      <c r="K479">
        <v>480</v>
      </c>
      <c r="L479">
        <v>1</v>
      </c>
      <c r="M479">
        <v>0.88024999999999998</v>
      </c>
      <c r="N479">
        <v>0.96123260437375746</v>
      </c>
      <c r="O479">
        <v>0.84612500000000002</v>
      </c>
    </row>
    <row r="480" spans="1:15" x14ac:dyDescent="0.3">
      <c r="A480">
        <v>479</v>
      </c>
      <c r="B480" s="1">
        <v>45697</v>
      </c>
      <c r="C480" t="s">
        <v>21</v>
      </c>
      <c r="D480" t="s">
        <v>18</v>
      </c>
      <c r="E480">
        <v>480</v>
      </c>
      <c r="F480">
        <v>14</v>
      </c>
      <c r="G480">
        <v>1866</v>
      </c>
      <c r="H480">
        <v>1831</v>
      </c>
      <c r="I480">
        <v>35</v>
      </c>
      <c r="J480">
        <v>13.2</v>
      </c>
      <c r="K480">
        <v>466</v>
      </c>
      <c r="L480">
        <v>0.97083333333333333</v>
      </c>
      <c r="M480">
        <v>0.88094420600858359</v>
      </c>
      <c r="N480">
        <v>0.9812433011789925</v>
      </c>
      <c r="O480">
        <v>0.83920833333333322</v>
      </c>
    </row>
    <row r="481" spans="1:15" x14ac:dyDescent="0.3">
      <c r="A481">
        <v>480</v>
      </c>
      <c r="B481" s="1">
        <v>45697</v>
      </c>
      <c r="C481" t="s">
        <v>21</v>
      </c>
      <c r="D481" t="s">
        <v>19</v>
      </c>
      <c r="E481">
        <v>480</v>
      </c>
      <c r="F481">
        <v>78</v>
      </c>
      <c r="G481">
        <v>1425</v>
      </c>
      <c r="H481">
        <v>1345</v>
      </c>
      <c r="I481">
        <v>80</v>
      </c>
      <c r="J481">
        <v>13.8</v>
      </c>
      <c r="K481">
        <v>402</v>
      </c>
      <c r="L481">
        <v>0.83750000000000002</v>
      </c>
      <c r="M481">
        <v>0.81529850746268662</v>
      </c>
      <c r="N481">
        <v>0.94385964912280707</v>
      </c>
      <c r="O481">
        <v>0.64447916666666671</v>
      </c>
    </row>
    <row r="482" spans="1:15" x14ac:dyDescent="0.3">
      <c r="A482">
        <v>481</v>
      </c>
      <c r="B482" s="1">
        <v>45698</v>
      </c>
      <c r="C482" t="s">
        <v>15</v>
      </c>
      <c r="D482" t="s">
        <v>16</v>
      </c>
      <c r="E482">
        <v>480</v>
      </c>
      <c r="F482">
        <v>36</v>
      </c>
      <c r="G482">
        <v>1949</v>
      </c>
      <c r="H482">
        <v>1848</v>
      </c>
      <c r="I482">
        <v>101</v>
      </c>
      <c r="J482">
        <v>12</v>
      </c>
      <c r="K482">
        <v>444</v>
      </c>
      <c r="L482">
        <v>0.92500000000000004</v>
      </c>
      <c r="M482">
        <v>0.87792792792792795</v>
      </c>
      <c r="N482">
        <v>0.948178553104156</v>
      </c>
      <c r="O482">
        <v>0.77</v>
      </c>
    </row>
    <row r="483" spans="1:15" x14ac:dyDescent="0.3">
      <c r="A483">
        <v>482</v>
      </c>
      <c r="B483" s="1">
        <v>45698</v>
      </c>
      <c r="C483" t="s">
        <v>15</v>
      </c>
      <c r="D483" t="s">
        <v>17</v>
      </c>
      <c r="E483">
        <v>480</v>
      </c>
      <c r="F483">
        <v>7</v>
      </c>
      <c r="G483">
        <v>1802</v>
      </c>
      <c r="H483">
        <v>1706</v>
      </c>
      <c r="I483">
        <v>96</v>
      </c>
      <c r="J483">
        <v>12.6</v>
      </c>
      <c r="K483">
        <v>473</v>
      </c>
      <c r="L483">
        <v>0.98541666666666672</v>
      </c>
      <c r="M483">
        <v>0.80004228329809723</v>
      </c>
      <c r="N483">
        <v>0.94672586015538296</v>
      </c>
      <c r="O483">
        <v>0.74637500000000012</v>
      </c>
    </row>
    <row r="484" spans="1:15" x14ac:dyDescent="0.3">
      <c r="A484">
        <v>483</v>
      </c>
      <c r="B484" s="1">
        <v>45698</v>
      </c>
      <c r="C484" t="s">
        <v>15</v>
      </c>
      <c r="D484" t="s">
        <v>18</v>
      </c>
      <c r="E484">
        <v>480</v>
      </c>
      <c r="F484">
        <v>92</v>
      </c>
      <c r="G484">
        <v>1644</v>
      </c>
      <c r="H484">
        <v>1576</v>
      </c>
      <c r="I484">
        <v>68</v>
      </c>
      <c r="J484">
        <v>13.2</v>
      </c>
      <c r="K484">
        <v>388</v>
      </c>
      <c r="L484">
        <v>0.80833333333333335</v>
      </c>
      <c r="M484">
        <v>0.9321649484536082</v>
      </c>
      <c r="N484">
        <v>0.95863746958637475</v>
      </c>
      <c r="O484">
        <v>0.72233333333333327</v>
      </c>
    </row>
    <row r="485" spans="1:15" x14ac:dyDescent="0.3">
      <c r="A485">
        <v>484</v>
      </c>
      <c r="B485" s="1">
        <v>45698</v>
      </c>
      <c r="C485" t="s">
        <v>15</v>
      </c>
      <c r="D485" t="s">
        <v>19</v>
      </c>
      <c r="E485">
        <v>480</v>
      </c>
      <c r="F485">
        <v>8</v>
      </c>
      <c r="G485">
        <v>1583</v>
      </c>
      <c r="H485">
        <v>1529</v>
      </c>
      <c r="I485">
        <v>54</v>
      </c>
      <c r="J485">
        <v>13.8</v>
      </c>
      <c r="K485">
        <v>472</v>
      </c>
      <c r="L485">
        <v>0.98333333333333328</v>
      </c>
      <c r="M485">
        <v>0.77137711864406788</v>
      </c>
      <c r="N485">
        <v>0.96588755527479464</v>
      </c>
      <c r="O485">
        <v>0.73264583333333333</v>
      </c>
    </row>
    <row r="486" spans="1:15" x14ac:dyDescent="0.3">
      <c r="A486">
        <v>485</v>
      </c>
      <c r="B486" s="1">
        <v>45698</v>
      </c>
      <c r="C486" t="s">
        <v>20</v>
      </c>
      <c r="D486" t="s">
        <v>16</v>
      </c>
      <c r="E486">
        <v>480</v>
      </c>
      <c r="F486">
        <v>10</v>
      </c>
      <c r="G486">
        <v>1891</v>
      </c>
      <c r="H486">
        <v>1787</v>
      </c>
      <c r="I486">
        <v>104</v>
      </c>
      <c r="J486">
        <v>12</v>
      </c>
      <c r="K486">
        <v>470</v>
      </c>
      <c r="L486">
        <v>0.97916666666666663</v>
      </c>
      <c r="M486">
        <v>0.80468085106382981</v>
      </c>
      <c r="N486">
        <v>0.94500264410364887</v>
      </c>
      <c r="O486">
        <v>0.74458333333333337</v>
      </c>
    </row>
    <row r="487" spans="1:15" x14ac:dyDescent="0.3">
      <c r="A487">
        <v>486</v>
      </c>
      <c r="B487" s="1">
        <v>45698</v>
      </c>
      <c r="C487" t="s">
        <v>20</v>
      </c>
      <c r="D487" t="s">
        <v>17</v>
      </c>
      <c r="E487">
        <v>480</v>
      </c>
      <c r="F487">
        <v>5</v>
      </c>
      <c r="G487">
        <v>1949</v>
      </c>
      <c r="H487">
        <v>1888</v>
      </c>
      <c r="I487">
        <v>61</v>
      </c>
      <c r="J487">
        <v>12.6</v>
      </c>
      <c r="K487">
        <v>475</v>
      </c>
      <c r="L487">
        <v>0.98958333333333337</v>
      </c>
      <c r="M487">
        <v>0.8616631578947368</v>
      </c>
      <c r="N487">
        <v>0.96870189840944076</v>
      </c>
      <c r="O487">
        <v>0.82600000000000007</v>
      </c>
    </row>
    <row r="488" spans="1:15" x14ac:dyDescent="0.3">
      <c r="A488">
        <v>487</v>
      </c>
      <c r="B488" s="1">
        <v>45698</v>
      </c>
      <c r="C488" t="s">
        <v>20</v>
      </c>
      <c r="D488" t="s">
        <v>18</v>
      </c>
      <c r="E488">
        <v>480</v>
      </c>
      <c r="F488">
        <v>47</v>
      </c>
      <c r="G488">
        <v>1754</v>
      </c>
      <c r="H488">
        <v>1657</v>
      </c>
      <c r="I488">
        <v>97</v>
      </c>
      <c r="J488">
        <v>13.2</v>
      </c>
      <c r="K488">
        <v>433</v>
      </c>
      <c r="L488">
        <v>0.90208333333333335</v>
      </c>
      <c r="M488">
        <v>0.8911778290993071</v>
      </c>
      <c r="N488">
        <v>0.94469783352337511</v>
      </c>
      <c r="O488">
        <v>0.75945833333333324</v>
      </c>
    </row>
    <row r="489" spans="1:15" x14ac:dyDescent="0.3">
      <c r="A489">
        <v>488</v>
      </c>
      <c r="B489" s="1">
        <v>45698</v>
      </c>
      <c r="C489" t="s">
        <v>20</v>
      </c>
      <c r="D489" t="s">
        <v>19</v>
      </c>
      <c r="E489">
        <v>480</v>
      </c>
      <c r="F489">
        <v>72</v>
      </c>
      <c r="G489">
        <v>1395</v>
      </c>
      <c r="H489">
        <v>1380</v>
      </c>
      <c r="I489">
        <v>15</v>
      </c>
      <c r="J489">
        <v>13.8</v>
      </c>
      <c r="K489">
        <v>408</v>
      </c>
      <c r="L489">
        <v>0.85</v>
      </c>
      <c r="M489">
        <v>0.78639705882352939</v>
      </c>
      <c r="N489">
        <v>0.989247311827957</v>
      </c>
      <c r="O489">
        <v>0.66125</v>
      </c>
    </row>
    <row r="490" spans="1:15" x14ac:dyDescent="0.3">
      <c r="A490">
        <v>489</v>
      </c>
      <c r="B490" s="1">
        <v>45698</v>
      </c>
      <c r="C490" t="s">
        <v>21</v>
      </c>
      <c r="D490" t="s">
        <v>16</v>
      </c>
      <c r="E490">
        <v>480</v>
      </c>
      <c r="F490">
        <v>58</v>
      </c>
      <c r="G490">
        <v>1636</v>
      </c>
      <c r="H490">
        <v>1570</v>
      </c>
      <c r="I490">
        <v>66</v>
      </c>
      <c r="J490">
        <v>12</v>
      </c>
      <c r="K490">
        <v>422</v>
      </c>
      <c r="L490">
        <v>0.87916666666666665</v>
      </c>
      <c r="M490">
        <v>0.77535545023696684</v>
      </c>
      <c r="N490">
        <v>0.95965770171149145</v>
      </c>
      <c r="O490">
        <v>0.65416666666666667</v>
      </c>
    </row>
    <row r="491" spans="1:15" x14ac:dyDescent="0.3">
      <c r="A491">
        <v>490</v>
      </c>
      <c r="B491" s="1">
        <v>45698</v>
      </c>
      <c r="C491" t="s">
        <v>21</v>
      </c>
      <c r="D491" t="s">
        <v>17</v>
      </c>
      <c r="E491">
        <v>480</v>
      </c>
      <c r="F491">
        <v>32</v>
      </c>
      <c r="G491">
        <v>1792</v>
      </c>
      <c r="H491">
        <v>1707</v>
      </c>
      <c r="I491">
        <v>85</v>
      </c>
      <c r="J491">
        <v>12.6</v>
      </c>
      <c r="K491">
        <v>448</v>
      </c>
      <c r="L491">
        <v>0.93333333333333335</v>
      </c>
      <c r="M491">
        <v>0.84000000000000008</v>
      </c>
      <c r="N491">
        <v>0.9525669642857143</v>
      </c>
      <c r="O491">
        <v>0.7468125000000001</v>
      </c>
    </row>
    <row r="492" spans="1:15" x14ac:dyDescent="0.3">
      <c r="A492">
        <v>491</v>
      </c>
      <c r="B492" s="1">
        <v>45698</v>
      </c>
      <c r="C492" t="s">
        <v>21</v>
      </c>
      <c r="D492" t="s">
        <v>18</v>
      </c>
      <c r="E492">
        <v>480</v>
      </c>
      <c r="F492">
        <v>0</v>
      </c>
      <c r="G492">
        <v>2024</v>
      </c>
      <c r="H492">
        <v>1980</v>
      </c>
      <c r="I492">
        <v>44</v>
      </c>
      <c r="J492">
        <v>13.2</v>
      </c>
      <c r="K492">
        <v>480</v>
      </c>
      <c r="L492">
        <v>1</v>
      </c>
      <c r="M492">
        <v>0.92766666666666664</v>
      </c>
      <c r="N492">
        <v>0.97826086956521741</v>
      </c>
      <c r="O492">
        <v>0.90749999999999997</v>
      </c>
    </row>
    <row r="493" spans="1:15" x14ac:dyDescent="0.3">
      <c r="A493">
        <v>492</v>
      </c>
      <c r="B493" s="1">
        <v>45698</v>
      </c>
      <c r="C493" t="s">
        <v>21</v>
      </c>
      <c r="D493" t="s">
        <v>19</v>
      </c>
      <c r="E493">
        <v>480</v>
      </c>
      <c r="F493">
        <v>21</v>
      </c>
      <c r="G493">
        <v>1655</v>
      </c>
      <c r="H493">
        <v>1636</v>
      </c>
      <c r="I493">
        <v>19</v>
      </c>
      <c r="J493">
        <v>13.8</v>
      </c>
      <c r="K493">
        <v>459</v>
      </c>
      <c r="L493">
        <v>0.95625000000000004</v>
      </c>
      <c r="M493">
        <v>0.82930283224400869</v>
      </c>
      <c r="N493">
        <v>0.9885196374622357</v>
      </c>
      <c r="O493">
        <v>0.78391666666666682</v>
      </c>
    </row>
    <row r="494" spans="1:15" x14ac:dyDescent="0.3">
      <c r="A494">
        <v>493</v>
      </c>
      <c r="B494" s="1">
        <v>45699</v>
      </c>
      <c r="C494" t="s">
        <v>15</v>
      </c>
      <c r="D494" t="s">
        <v>16</v>
      </c>
      <c r="E494">
        <v>480</v>
      </c>
      <c r="F494">
        <v>247</v>
      </c>
      <c r="G494">
        <v>1071</v>
      </c>
      <c r="H494">
        <v>1046</v>
      </c>
      <c r="I494">
        <v>25</v>
      </c>
      <c r="J494">
        <v>12</v>
      </c>
      <c r="K494">
        <v>233</v>
      </c>
      <c r="L494">
        <v>0.48541666666666666</v>
      </c>
      <c r="M494">
        <v>0.91931330472103001</v>
      </c>
      <c r="N494">
        <v>0.97665732959850604</v>
      </c>
      <c r="O494">
        <v>0.43583333333333329</v>
      </c>
    </row>
    <row r="495" spans="1:15" x14ac:dyDescent="0.3">
      <c r="A495">
        <v>494</v>
      </c>
      <c r="B495" s="1">
        <v>45699</v>
      </c>
      <c r="C495" t="s">
        <v>15</v>
      </c>
      <c r="D495" t="s">
        <v>17</v>
      </c>
      <c r="E495">
        <v>480</v>
      </c>
      <c r="F495">
        <v>174</v>
      </c>
      <c r="G495">
        <v>1197</v>
      </c>
      <c r="H495">
        <v>1165</v>
      </c>
      <c r="I495">
        <v>32</v>
      </c>
      <c r="J495">
        <v>12.6</v>
      </c>
      <c r="K495">
        <v>306</v>
      </c>
      <c r="L495">
        <v>0.63749999999999996</v>
      </c>
      <c r="M495">
        <v>0.82147058823529406</v>
      </c>
      <c r="N495">
        <v>0.97326649958228906</v>
      </c>
      <c r="O495">
        <v>0.50968749999999996</v>
      </c>
    </row>
    <row r="496" spans="1:15" x14ac:dyDescent="0.3">
      <c r="A496">
        <v>495</v>
      </c>
      <c r="B496" s="1">
        <v>45699</v>
      </c>
      <c r="C496" t="s">
        <v>15</v>
      </c>
      <c r="D496" t="s">
        <v>18</v>
      </c>
      <c r="E496">
        <v>480</v>
      </c>
      <c r="F496">
        <v>0</v>
      </c>
      <c r="G496">
        <v>1858</v>
      </c>
      <c r="H496">
        <v>1816</v>
      </c>
      <c r="I496">
        <v>42</v>
      </c>
      <c r="J496">
        <v>13.2</v>
      </c>
      <c r="K496">
        <v>480</v>
      </c>
      <c r="L496">
        <v>1</v>
      </c>
      <c r="M496">
        <v>0.85158333333333325</v>
      </c>
      <c r="N496">
        <v>0.9773950484391819</v>
      </c>
      <c r="O496">
        <v>0.83233333333333326</v>
      </c>
    </row>
    <row r="497" spans="1:15" x14ac:dyDescent="0.3">
      <c r="A497">
        <v>496</v>
      </c>
      <c r="B497" s="1">
        <v>45699</v>
      </c>
      <c r="C497" t="s">
        <v>15</v>
      </c>
      <c r="D497" t="s">
        <v>19</v>
      </c>
      <c r="E497">
        <v>480</v>
      </c>
      <c r="F497">
        <v>97</v>
      </c>
      <c r="G497">
        <v>1306</v>
      </c>
      <c r="H497">
        <v>1230</v>
      </c>
      <c r="I497">
        <v>76</v>
      </c>
      <c r="J497">
        <v>13.8</v>
      </c>
      <c r="K497">
        <v>383</v>
      </c>
      <c r="L497">
        <v>0.79791666666666672</v>
      </c>
      <c r="M497">
        <v>0.7842819843342036</v>
      </c>
      <c r="N497">
        <v>0.94180704441041352</v>
      </c>
      <c r="O497">
        <v>0.58937499999999998</v>
      </c>
    </row>
    <row r="498" spans="1:15" x14ac:dyDescent="0.3">
      <c r="A498">
        <v>497</v>
      </c>
      <c r="B498" s="1">
        <v>45699</v>
      </c>
      <c r="C498" t="s">
        <v>20</v>
      </c>
      <c r="D498" t="s">
        <v>16</v>
      </c>
      <c r="E498">
        <v>480</v>
      </c>
      <c r="F498">
        <v>42</v>
      </c>
      <c r="G498">
        <v>1933</v>
      </c>
      <c r="H498">
        <v>1827</v>
      </c>
      <c r="I498">
        <v>106</v>
      </c>
      <c r="J498">
        <v>12</v>
      </c>
      <c r="K498">
        <v>438</v>
      </c>
      <c r="L498">
        <v>0.91249999999999998</v>
      </c>
      <c r="M498">
        <v>0.88264840182648396</v>
      </c>
      <c r="N498">
        <v>0.94516295913088466</v>
      </c>
      <c r="O498">
        <v>0.76124999999999987</v>
      </c>
    </row>
    <row r="499" spans="1:15" x14ac:dyDescent="0.3">
      <c r="A499">
        <v>498</v>
      </c>
      <c r="B499" s="1">
        <v>45699</v>
      </c>
      <c r="C499" t="s">
        <v>20</v>
      </c>
      <c r="D499" t="s">
        <v>17</v>
      </c>
      <c r="E499">
        <v>480</v>
      </c>
      <c r="F499">
        <v>25</v>
      </c>
      <c r="G499">
        <v>1825</v>
      </c>
      <c r="H499">
        <v>1727</v>
      </c>
      <c r="I499">
        <v>98</v>
      </c>
      <c r="J499">
        <v>12.6</v>
      </c>
      <c r="K499">
        <v>455</v>
      </c>
      <c r="L499">
        <v>0.94791666666666663</v>
      </c>
      <c r="M499">
        <v>0.84230769230769231</v>
      </c>
      <c r="N499">
        <v>0.94630136986301372</v>
      </c>
      <c r="O499">
        <v>0.75556250000000003</v>
      </c>
    </row>
    <row r="500" spans="1:15" x14ac:dyDescent="0.3">
      <c r="A500">
        <v>499</v>
      </c>
      <c r="B500" s="1">
        <v>45699</v>
      </c>
      <c r="C500" t="s">
        <v>20</v>
      </c>
      <c r="D500" t="s">
        <v>18</v>
      </c>
      <c r="E500">
        <v>480</v>
      </c>
      <c r="F500">
        <v>62</v>
      </c>
      <c r="G500">
        <v>1477</v>
      </c>
      <c r="H500">
        <v>1408</v>
      </c>
      <c r="I500">
        <v>69</v>
      </c>
      <c r="J500">
        <v>13.2</v>
      </c>
      <c r="K500">
        <v>418</v>
      </c>
      <c r="L500">
        <v>0.87083333333333335</v>
      </c>
      <c r="M500">
        <v>0.77736842105263149</v>
      </c>
      <c r="N500">
        <v>0.95328368314150302</v>
      </c>
      <c r="O500">
        <v>0.6453333333333332</v>
      </c>
    </row>
    <row r="501" spans="1:15" x14ac:dyDescent="0.3">
      <c r="A501">
        <v>500</v>
      </c>
      <c r="B501" s="1">
        <v>45699</v>
      </c>
      <c r="C501" t="s">
        <v>20</v>
      </c>
      <c r="D501" t="s">
        <v>19</v>
      </c>
      <c r="E501">
        <v>480</v>
      </c>
      <c r="F501">
        <v>7</v>
      </c>
      <c r="G501">
        <v>1824</v>
      </c>
      <c r="H501">
        <v>1767</v>
      </c>
      <c r="I501">
        <v>57</v>
      </c>
      <c r="J501">
        <v>13.8</v>
      </c>
      <c r="K501">
        <v>473</v>
      </c>
      <c r="L501">
        <v>0.98541666666666672</v>
      </c>
      <c r="M501">
        <v>0.88693446088794925</v>
      </c>
      <c r="N501">
        <v>0.96875</v>
      </c>
      <c r="O501">
        <v>0.84668750000000004</v>
      </c>
    </row>
    <row r="502" spans="1:15" x14ac:dyDescent="0.3">
      <c r="A502">
        <v>501</v>
      </c>
      <c r="B502" s="1">
        <v>45699</v>
      </c>
      <c r="C502" t="s">
        <v>21</v>
      </c>
      <c r="D502" t="s">
        <v>16</v>
      </c>
      <c r="E502">
        <v>480</v>
      </c>
      <c r="F502">
        <v>0</v>
      </c>
      <c r="G502">
        <v>1864</v>
      </c>
      <c r="H502">
        <v>1795</v>
      </c>
      <c r="I502">
        <v>69</v>
      </c>
      <c r="J502">
        <v>12</v>
      </c>
      <c r="K502">
        <v>480</v>
      </c>
      <c r="L502">
        <v>1</v>
      </c>
      <c r="M502">
        <v>0.77666666666666662</v>
      </c>
      <c r="N502">
        <v>0.96298283261802575</v>
      </c>
      <c r="O502">
        <v>0.74791666666666667</v>
      </c>
    </row>
    <row r="503" spans="1:15" x14ac:dyDescent="0.3">
      <c r="A503">
        <v>502</v>
      </c>
      <c r="B503" s="1">
        <v>45699</v>
      </c>
      <c r="C503" t="s">
        <v>21</v>
      </c>
      <c r="D503" t="s">
        <v>17</v>
      </c>
      <c r="E503">
        <v>480</v>
      </c>
      <c r="F503">
        <v>136</v>
      </c>
      <c r="G503">
        <v>1351</v>
      </c>
      <c r="H503">
        <v>1337</v>
      </c>
      <c r="I503">
        <v>14</v>
      </c>
      <c r="J503">
        <v>12.6</v>
      </c>
      <c r="K503">
        <v>344</v>
      </c>
      <c r="L503">
        <v>0.71666666666666667</v>
      </c>
      <c r="M503">
        <v>0.82473837209302314</v>
      </c>
      <c r="N503">
        <v>0.98963730569948183</v>
      </c>
      <c r="O503">
        <v>0.58493749999999989</v>
      </c>
    </row>
    <row r="504" spans="1:15" x14ac:dyDescent="0.3">
      <c r="A504">
        <v>503</v>
      </c>
      <c r="B504" s="1">
        <v>45699</v>
      </c>
      <c r="C504" t="s">
        <v>21</v>
      </c>
      <c r="D504" t="s">
        <v>18</v>
      </c>
      <c r="E504">
        <v>480</v>
      </c>
      <c r="F504">
        <v>189</v>
      </c>
      <c r="G504">
        <v>1057</v>
      </c>
      <c r="H504">
        <v>1043</v>
      </c>
      <c r="I504">
        <v>14</v>
      </c>
      <c r="J504">
        <v>13.2</v>
      </c>
      <c r="K504">
        <v>291</v>
      </c>
      <c r="L504">
        <v>0.60624999999999996</v>
      </c>
      <c r="M504">
        <v>0.799106529209622</v>
      </c>
      <c r="N504">
        <v>0.98675496688741726</v>
      </c>
      <c r="O504">
        <v>0.4780416666666667</v>
      </c>
    </row>
    <row r="505" spans="1:15" x14ac:dyDescent="0.3">
      <c r="A505">
        <v>504</v>
      </c>
      <c r="B505" s="1">
        <v>45699</v>
      </c>
      <c r="C505" t="s">
        <v>21</v>
      </c>
      <c r="D505" t="s">
        <v>19</v>
      </c>
      <c r="E505">
        <v>480</v>
      </c>
      <c r="F505">
        <v>30</v>
      </c>
      <c r="G505">
        <v>1722</v>
      </c>
      <c r="H505">
        <v>1680</v>
      </c>
      <c r="I505">
        <v>42</v>
      </c>
      <c r="J505">
        <v>13.8</v>
      </c>
      <c r="K505">
        <v>450</v>
      </c>
      <c r="L505">
        <v>0.9375</v>
      </c>
      <c r="M505">
        <v>0.88013333333333343</v>
      </c>
      <c r="N505">
        <v>0.97560975609756095</v>
      </c>
      <c r="O505">
        <v>0.80500000000000005</v>
      </c>
    </row>
    <row r="506" spans="1:15" x14ac:dyDescent="0.3">
      <c r="A506">
        <v>505</v>
      </c>
      <c r="B506" s="1">
        <v>45700</v>
      </c>
      <c r="C506" t="s">
        <v>15</v>
      </c>
      <c r="D506" t="s">
        <v>16</v>
      </c>
      <c r="E506">
        <v>480</v>
      </c>
      <c r="F506">
        <v>90</v>
      </c>
      <c r="G506">
        <v>1667</v>
      </c>
      <c r="H506">
        <v>1632</v>
      </c>
      <c r="I506">
        <v>35</v>
      </c>
      <c r="J506">
        <v>12</v>
      </c>
      <c r="K506">
        <v>390</v>
      </c>
      <c r="L506">
        <v>0.8125</v>
      </c>
      <c r="M506">
        <v>0.85487179487179488</v>
      </c>
      <c r="N506">
        <v>0.97900419916016801</v>
      </c>
      <c r="O506">
        <v>0.68</v>
      </c>
    </row>
    <row r="507" spans="1:15" x14ac:dyDescent="0.3">
      <c r="A507">
        <v>506</v>
      </c>
      <c r="B507" s="1">
        <v>45700</v>
      </c>
      <c r="C507" t="s">
        <v>15</v>
      </c>
      <c r="D507" t="s">
        <v>17</v>
      </c>
      <c r="E507">
        <v>480</v>
      </c>
      <c r="F507">
        <v>8</v>
      </c>
      <c r="G507">
        <v>2111</v>
      </c>
      <c r="H507">
        <v>2004</v>
      </c>
      <c r="I507">
        <v>107</v>
      </c>
      <c r="J507">
        <v>12.6</v>
      </c>
      <c r="K507">
        <v>472</v>
      </c>
      <c r="L507">
        <v>0.98333333333333328</v>
      </c>
      <c r="M507">
        <v>0.93921610169491521</v>
      </c>
      <c r="N507">
        <v>0.94931312174324967</v>
      </c>
      <c r="O507">
        <v>0.87675000000000003</v>
      </c>
    </row>
    <row r="508" spans="1:15" x14ac:dyDescent="0.3">
      <c r="A508">
        <v>507</v>
      </c>
      <c r="B508" s="1">
        <v>45700</v>
      </c>
      <c r="C508" t="s">
        <v>15</v>
      </c>
      <c r="D508" t="s">
        <v>18</v>
      </c>
      <c r="E508">
        <v>480</v>
      </c>
      <c r="F508">
        <v>32</v>
      </c>
      <c r="G508">
        <v>1680</v>
      </c>
      <c r="H508">
        <v>1646</v>
      </c>
      <c r="I508">
        <v>34</v>
      </c>
      <c r="J508">
        <v>13.2</v>
      </c>
      <c r="K508">
        <v>448</v>
      </c>
      <c r="L508">
        <v>0.93333333333333335</v>
      </c>
      <c r="M508">
        <v>0.82499999999999996</v>
      </c>
      <c r="N508">
        <v>0.97976190476190472</v>
      </c>
      <c r="O508">
        <v>0.75441666666666662</v>
      </c>
    </row>
    <row r="509" spans="1:15" x14ac:dyDescent="0.3">
      <c r="A509">
        <v>508</v>
      </c>
      <c r="B509" s="1">
        <v>45700</v>
      </c>
      <c r="C509" t="s">
        <v>15</v>
      </c>
      <c r="D509" t="s">
        <v>19</v>
      </c>
      <c r="E509">
        <v>480</v>
      </c>
      <c r="F509">
        <v>0</v>
      </c>
      <c r="G509">
        <v>1789</v>
      </c>
      <c r="H509">
        <v>1728</v>
      </c>
      <c r="I509">
        <v>61</v>
      </c>
      <c r="J509">
        <v>13.8</v>
      </c>
      <c r="K509">
        <v>480</v>
      </c>
      <c r="L509">
        <v>1</v>
      </c>
      <c r="M509">
        <v>0.85722916666666671</v>
      </c>
      <c r="N509">
        <v>0.96590273896031298</v>
      </c>
      <c r="O509">
        <v>0.82799999999999996</v>
      </c>
    </row>
    <row r="510" spans="1:15" x14ac:dyDescent="0.3">
      <c r="A510">
        <v>509</v>
      </c>
      <c r="B510" s="1">
        <v>45700</v>
      </c>
      <c r="C510" t="s">
        <v>20</v>
      </c>
      <c r="D510" t="s">
        <v>16</v>
      </c>
      <c r="E510">
        <v>480</v>
      </c>
      <c r="F510">
        <v>33</v>
      </c>
      <c r="G510">
        <v>2099</v>
      </c>
      <c r="H510">
        <v>2038</v>
      </c>
      <c r="I510">
        <v>61</v>
      </c>
      <c r="J510">
        <v>12</v>
      </c>
      <c r="K510">
        <v>447</v>
      </c>
      <c r="L510">
        <v>0.93125000000000002</v>
      </c>
      <c r="M510">
        <v>0.93914988814317668</v>
      </c>
      <c r="N510">
        <v>0.97093854216293474</v>
      </c>
      <c r="O510">
        <v>0.84916666666666663</v>
      </c>
    </row>
    <row r="511" spans="1:15" x14ac:dyDescent="0.3">
      <c r="A511">
        <v>510</v>
      </c>
      <c r="B511" s="1">
        <v>45700</v>
      </c>
      <c r="C511" t="s">
        <v>20</v>
      </c>
      <c r="D511" t="s">
        <v>17</v>
      </c>
      <c r="E511">
        <v>480</v>
      </c>
      <c r="F511">
        <v>7</v>
      </c>
      <c r="G511">
        <v>2173</v>
      </c>
      <c r="H511">
        <v>2077</v>
      </c>
      <c r="I511">
        <v>96</v>
      </c>
      <c r="J511">
        <v>12.6</v>
      </c>
      <c r="K511">
        <v>473</v>
      </c>
      <c r="L511">
        <v>0.98541666666666672</v>
      </c>
      <c r="M511">
        <v>0.96475687103594077</v>
      </c>
      <c r="N511">
        <v>0.95582144500690291</v>
      </c>
      <c r="O511">
        <v>0.90868749999999998</v>
      </c>
    </row>
    <row r="512" spans="1:15" x14ac:dyDescent="0.3">
      <c r="A512">
        <v>511</v>
      </c>
      <c r="B512" s="1">
        <v>45700</v>
      </c>
      <c r="C512" t="s">
        <v>20</v>
      </c>
      <c r="D512" t="s">
        <v>18</v>
      </c>
      <c r="E512">
        <v>480</v>
      </c>
      <c r="F512">
        <v>10</v>
      </c>
      <c r="G512">
        <v>1681</v>
      </c>
      <c r="H512">
        <v>1610</v>
      </c>
      <c r="I512">
        <v>71</v>
      </c>
      <c r="J512">
        <v>13.2</v>
      </c>
      <c r="K512">
        <v>470</v>
      </c>
      <c r="L512">
        <v>0.97916666666666663</v>
      </c>
      <c r="M512">
        <v>0.78685106382978709</v>
      </c>
      <c r="N512">
        <v>0.9577632361689471</v>
      </c>
      <c r="O512">
        <v>0.73791666666666655</v>
      </c>
    </row>
    <row r="513" spans="1:15" x14ac:dyDescent="0.3">
      <c r="A513">
        <v>512</v>
      </c>
      <c r="B513" s="1">
        <v>45700</v>
      </c>
      <c r="C513" t="s">
        <v>20</v>
      </c>
      <c r="D513" t="s">
        <v>19</v>
      </c>
      <c r="E513">
        <v>480</v>
      </c>
      <c r="F513">
        <v>93</v>
      </c>
      <c r="G513">
        <v>1399</v>
      </c>
      <c r="H513">
        <v>1347</v>
      </c>
      <c r="I513">
        <v>52</v>
      </c>
      <c r="J513">
        <v>13.8</v>
      </c>
      <c r="K513">
        <v>387</v>
      </c>
      <c r="L513">
        <v>0.80625000000000002</v>
      </c>
      <c r="M513">
        <v>0.8314470284237726</v>
      </c>
      <c r="N513">
        <v>0.96283059328091491</v>
      </c>
      <c r="O513">
        <v>0.6454375</v>
      </c>
    </row>
    <row r="514" spans="1:15" x14ac:dyDescent="0.3">
      <c r="A514">
        <v>513</v>
      </c>
      <c r="B514" s="1">
        <v>45700</v>
      </c>
      <c r="C514" t="s">
        <v>21</v>
      </c>
      <c r="D514" t="s">
        <v>16</v>
      </c>
      <c r="E514">
        <v>480</v>
      </c>
      <c r="F514">
        <v>46</v>
      </c>
      <c r="G514">
        <v>1955</v>
      </c>
      <c r="H514">
        <v>1929</v>
      </c>
      <c r="I514">
        <v>26</v>
      </c>
      <c r="J514">
        <v>12</v>
      </c>
      <c r="K514">
        <v>434</v>
      </c>
      <c r="L514">
        <v>0.90416666666666667</v>
      </c>
      <c r="M514">
        <v>0.90092165898617516</v>
      </c>
      <c r="N514">
        <v>0.98670076726342715</v>
      </c>
      <c r="O514">
        <v>0.80375000000000008</v>
      </c>
    </row>
    <row r="515" spans="1:15" x14ac:dyDescent="0.3">
      <c r="A515">
        <v>514</v>
      </c>
      <c r="B515" s="1">
        <v>45700</v>
      </c>
      <c r="C515" t="s">
        <v>21</v>
      </c>
      <c r="D515" t="s">
        <v>17</v>
      </c>
      <c r="E515">
        <v>480</v>
      </c>
      <c r="F515">
        <v>79</v>
      </c>
      <c r="G515">
        <v>1450</v>
      </c>
      <c r="H515">
        <v>1406</v>
      </c>
      <c r="I515">
        <v>44</v>
      </c>
      <c r="J515">
        <v>12.6</v>
      </c>
      <c r="K515">
        <v>401</v>
      </c>
      <c r="L515">
        <v>0.8354166666666667</v>
      </c>
      <c r="M515">
        <v>0.75935162094763087</v>
      </c>
      <c r="N515">
        <v>0.96965517241379307</v>
      </c>
      <c r="O515">
        <v>0.61512500000000003</v>
      </c>
    </row>
    <row r="516" spans="1:15" x14ac:dyDescent="0.3">
      <c r="A516">
        <v>515</v>
      </c>
      <c r="B516" s="1">
        <v>45700</v>
      </c>
      <c r="C516" t="s">
        <v>21</v>
      </c>
      <c r="D516" t="s">
        <v>18</v>
      </c>
      <c r="E516">
        <v>480</v>
      </c>
      <c r="F516">
        <v>0</v>
      </c>
      <c r="G516">
        <v>2077</v>
      </c>
      <c r="H516">
        <v>1999</v>
      </c>
      <c r="I516">
        <v>78</v>
      </c>
      <c r="J516">
        <v>13.2</v>
      </c>
      <c r="K516">
        <v>480</v>
      </c>
      <c r="L516">
        <v>1</v>
      </c>
      <c r="M516">
        <v>0.95195833333333324</v>
      </c>
      <c r="N516">
        <v>0.96244583533943184</v>
      </c>
      <c r="O516">
        <v>0.91620833333333318</v>
      </c>
    </row>
    <row r="517" spans="1:15" x14ac:dyDescent="0.3">
      <c r="A517">
        <v>516</v>
      </c>
      <c r="B517" s="1">
        <v>45700</v>
      </c>
      <c r="C517" t="s">
        <v>21</v>
      </c>
      <c r="D517" t="s">
        <v>19</v>
      </c>
      <c r="E517">
        <v>480</v>
      </c>
      <c r="F517">
        <v>95</v>
      </c>
      <c r="G517">
        <v>1340</v>
      </c>
      <c r="H517">
        <v>1268</v>
      </c>
      <c r="I517">
        <v>72</v>
      </c>
      <c r="J517">
        <v>13.8</v>
      </c>
      <c r="K517">
        <v>385</v>
      </c>
      <c r="L517">
        <v>0.80208333333333337</v>
      </c>
      <c r="M517">
        <v>0.80051948051948052</v>
      </c>
      <c r="N517">
        <v>0.94626865671641791</v>
      </c>
      <c r="O517">
        <v>0.60758333333333336</v>
      </c>
    </row>
    <row r="518" spans="1:15" x14ac:dyDescent="0.3">
      <c r="A518">
        <v>517</v>
      </c>
      <c r="B518" s="1">
        <v>45701</v>
      </c>
      <c r="C518" t="s">
        <v>15</v>
      </c>
      <c r="D518" t="s">
        <v>16</v>
      </c>
      <c r="E518">
        <v>480</v>
      </c>
      <c r="F518">
        <v>159</v>
      </c>
      <c r="G518">
        <v>1403</v>
      </c>
      <c r="H518">
        <v>1330</v>
      </c>
      <c r="I518">
        <v>73</v>
      </c>
      <c r="J518">
        <v>12</v>
      </c>
      <c r="K518">
        <v>321</v>
      </c>
      <c r="L518">
        <v>0.66874999999999996</v>
      </c>
      <c r="M518">
        <v>0.87414330218068537</v>
      </c>
      <c r="N518">
        <v>0.94796863863150393</v>
      </c>
      <c r="O518">
        <v>0.5541666666666667</v>
      </c>
    </row>
    <row r="519" spans="1:15" x14ac:dyDescent="0.3">
      <c r="A519">
        <v>518</v>
      </c>
      <c r="B519" s="1">
        <v>45701</v>
      </c>
      <c r="C519" t="s">
        <v>15</v>
      </c>
      <c r="D519" t="s">
        <v>17</v>
      </c>
      <c r="E519">
        <v>480</v>
      </c>
      <c r="F519">
        <v>7</v>
      </c>
      <c r="G519">
        <v>2126</v>
      </c>
      <c r="H519">
        <v>2054</v>
      </c>
      <c r="I519">
        <v>72</v>
      </c>
      <c r="J519">
        <v>12.6</v>
      </c>
      <c r="K519">
        <v>473</v>
      </c>
      <c r="L519">
        <v>0.98541666666666672</v>
      </c>
      <c r="M519">
        <v>0.94389006342494708</v>
      </c>
      <c r="N519">
        <v>0.96613358419567263</v>
      </c>
      <c r="O519">
        <v>0.89862500000000001</v>
      </c>
    </row>
    <row r="520" spans="1:15" x14ac:dyDescent="0.3">
      <c r="A520">
        <v>519</v>
      </c>
      <c r="B520" s="1">
        <v>45701</v>
      </c>
      <c r="C520" t="s">
        <v>15</v>
      </c>
      <c r="D520" t="s">
        <v>18</v>
      </c>
      <c r="E520">
        <v>480</v>
      </c>
      <c r="F520">
        <v>7</v>
      </c>
      <c r="G520">
        <v>1631</v>
      </c>
      <c r="H520">
        <v>1593</v>
      </c>
      <c r="I520">
        <v>38</v>
      </c>
      <c r="J520">
        <v>13.2</v>
      </c>
      <c r="K520">
        <v>473</v>
      </c>
      <c r="L520">
        <v>0.98541666666666672</v>
      </c>
      <c r="M520">
        <v>0.75860465116279063</v>
      </c>
      <c r="N520">
        <v>0.97670141017780499</v>
      </c>
      <c r="O520">
        <v>0.73012499999999991</v>
      </c>
    </row>
    <row r="521" spans="1:15" x14ac:dyDescent="0.3">
      <c r="A521">
        <v>520</v>
      </c>
      <c r="B521" s="1">
        <v>45701</v>
      </c>
      <c r="C521" t="s">
        <v>15</v>
      </c>
      <c r="D521" t="s">
        <v>19</v>
      </c>
      <c r="E521">
        <v>480</v>
      </c>
      <c r="F521">
        <v>0</v>
      </c>
      <c r="G521">
        <v>2034</v>
      </c>
      <c r="H521">
        <v>1916</v>
      </c>
      <c r="I521">
        <v>118</v>
      </c>
      <c r="J521">
        <v>13.8</v>
      </c>
      <c r="K521">
        <v>480</v>
      </c>
      <c r="L521">
        <v>1</v>
      </c>
      <c r="M521">
        <v>0.97462500000000007</v>
      </c>
      <c r="N521">
        <v>0.94198623402163228</v>
      </c>
      <c r="O521">
        <v>0.91808333333333347</v>
      </c>
    </row>
    <row r="522" spans="1:15" x14ac:dyDescent="0.3">
      <c r="A522">
        <v>521</v>
      </c>
      <c r="B522" s="1">
        <v>45701</v>
      </c>
      <c r="C522" t="s">
        <v>20</v>
      </c>
      <c r="D522" t="s">
        <v>16</v>
      </c>
      <c r="E522">
        <v>480</v>
      </c>
      <c r="F522">
        <v>79</v>
      </c>
      <c r="G522">
        <v>1864</v>
      </c>
      <c r="H522">
        <v>1821</v>
      </c>
      <c r="I522">
        <v>43</v>
      </c>
      <c r="J522">
        <v>12</v>
      </c>
      <c r="K522">
        <v>401</v>
      </c>
      <c r="L522">
        <v>0.8354166666666667</v>
      </c>
      <c r="M522">
        <v>0.92967581047381542</v>
      </c>
      <c r="N522">
        <v>0.97693133047210301</v>
      </c>
      <c r="O522">
        <v>0.75874999999999992</v>
      </c>
    </row>
    <row r="523" spans="1:15" x14ac:dyDescent="0.3">
      <c r="A523">
        <v>522</v>
      </c>
      <c r="B523" s="1">
        <v>45701</v>
      </c>
      <c r="C523" t="s">
        <v>20</v>
      </c>
      <c r="D523" t="s">
        <v>17</v>
      </c>
      <c r="E523">
        <v>480</v>
      </c>
      <c r="F523">
        <v>32</v>
      </c>
      <c r="G523">
        <v>1937</v>
      </c>
      <c r="H523">
        <v>1906</v>
      </c>
      <c r="I523">
        <v>31</v>
      </c>
      <c r="J523">
        <v>12.6</v>
      </c>
      <c r="K523">
        <v>448</v>
      </c>
      <c r="L523">
        <v>0.93333333333333335</v>
      </c>
      <c r="M523">
        <v>0.90796874999999999</v>
      </c>
      <c r="N523">
        <v>0.98399586990191013</v>
      </c>
      <c r="O523">
        <v>0.83387499999999992</v>
      </c>
    </row>
    <row r="524" spans="1:15" x14ac:dyDescent="0.3">
      <c r="A524">
        <v>523</v>
      </c>
      <c r="B524" s="1">
        <v>45701</v>
      </c>
      <c r="C524" t="s">
        <v>20</v>
      </c>
      <c r="D524" t="s">
        <v>18</v>
      </c>
      <c r="E524">
        <v>480</v>
      </c>
      <c r="F524">
        <v>7</v>
      </c>
      <c r="G524">
        <v>1764</v>
      </c>
      <c r="H524">
        <v>1699</v>
      </c>
      <c r="I524">
        <v>65</v>
      </c>
      <c r="J524">
        <v>13.2</v>
      </c>
      <c r="K524">
        <v>473</v>
      </c>
      <c r="L524">
        <v>0.98541666666666672</v>
      </c>
      <c r="M524">
        <v>0.82046511627906971</v>
      </c>
      <c r="N524">
        <v>0.96315192743764177</v>
      </c>
      <c r="O524">
        <v>0.77870833333333334</v>
      </c>
    </row>
    <row r="525" spans="1:15" x14ac:dyDescent="0.3">
      <c r="A525">
        <v>524</v>
      </c>
      <c r="B525" s="1">
        <v>45701</v>
      </c>
      <c r="C525" t="s">
        <v>20</v>
      </c>
      <c r="D525" t="s">
        <v>19</v>
      </c>
      <c r="E525">
        <v>480</v>
      </c>
      <c r="F525">
        <v>24</v>
      </c>
      <c r="G525">
        <v>1832</v>
      </c>
      <c r="H525">
        <v>1732</v>
      </c>
      <c r="I525">
        <v>100</v>
      </c>
      <c r="J525">
        <v>13.8</v>
      </c>
      <c r="K525">
        <v>456</v>
      </c>
      <c r="L525">
        <v>0.95</v>
      </c>
      <c r="M525">
        <v>0.92403508771929832</v>
      </c>
      <c r="N525">
        <v>0.94541484716157209</v>
      </c>
      <c r="O525">
        <v>0.82991666666666675</v>
      </c>
    </row>
    <row r="526" spans="1:15" x14ac:dyDescent="0.3">
      <c r="A526">
        <v>525</v>
      </c>
      <c r="B526" s="1">
        <v>45701</v>
      </c>
      <c r="C526" t="s">
        <v>21</v>
      </c>
      <c r="D526" t="s">
        <v>16</v>
      </c>
      <c r="E526">
        <v>480</v>
      </c>
      <c r="F526">
        <v>0</v>
      </c>
      <c r="G526">
        <v>2016</v>
      </c>
      <c r="H526">
        <v>1986</v>
      </c>
      <c r="I526">
        <v>30</v>
      </c>
      <c r="J526">
        <v>12</v>
      </c>
      <c r="K526">
        <v>480</v>
      </c>
      <c r="L526">
        <v>1</v>
      </c>
      <c r="M526">
        <v>0.84</v>
      </c>
      <c r="N526">
        <v>0.98511904761904767</v>
      </c>
      <c r="O526">
        <v>0.82750000000000001</v>
      </c>
    </row>
    <row r="527" spans="1:15" x14ac:dyDescent="0.3">
      <c r="A527">
        <v>526</v>
      </c>
      <c r="B527" s="1">
        <v>45701</v>
      </c>
      <c r="C527" t="s">
        <v>21</v>
      </c>
      <c r="D527" t="s">
        <v>17</v>
      </c>
      <c r="E527">
        <v>480</v>
      </c>
      <c r="F527">
        <v>0</v>
      </c>
      <c r="G527">
        <v>2062</v>
      </c>
      <c r="H527">
        <v>1980</v>
      </c>
      <c r="I527">
        <v>82</v>
      </c>
      <c r="J527">
        <v>12.6</v>
      </c>
      <c r="K527">
        <v>480</v>
      </c>
      <c r="L527">
        <v>1</v>
      </c>
      <c r="M527">
        <v>0.90212500000000007</v>
      </c>
      <c r="N527">
        <v>0.96023278370514065</v>
      </c>
      <c r="O527">
        <v>0.86625000000000008</v>
      </c>
    </row>
    <row r="528" spans="1:15" x14ac:dyDescent="0.3">
      <c r="A528">
        <v>527</v>
      </c>
      <c r="B528" s="1">
        <v>45701</v>
      </c>
      <c r="C528" t="s">
        <v>21</v>
      </c>
      <c r="D528" t="s">
        <v>18</v>
      </c>
      <c r="E528">
        <v>480</v>
      </c>
      <c r="F528">
        <v>0</v>
      </c>
      <c r="G528">
        <v>1753</v>
      </c>
      <c r="H528">
        <v>1734</v>
      </c>
      <c r="I528">
        <v>19</v>
      </c>
      <c r="J528">
        <v>13.2</v>
      </c>
      <c r="K528">
        <v>480</v>
      </c>
      <c r="L528">
        <v>1</v>
      </c>
      <c r="M528">
        <v>0.80345833333333327</v>
      </c>
      <c r="N528">
        <v>0.98916143753565322</v>
      </c>
      <c r="O528">
        <v>0.79474999999999996</v>
      </c>
    </row>
    <row r="529" spans="1:15" x14ac:dyDescent="0.3">
      <c r="A529">
        <v>528</v>
      </c>
      <c r="B529" s="1">
        <v>45701</v>
      </c>
      <c r="C529" t="s">
        <v>21</v>
      </c>
      <c r="D529" t="s">
        <v>19</v>
      </c>
      <c r="E529">
        <v>480</v>
      </c>
      <c r="F529">
        <v>104</v>
      </c>
      <c r="G529">
        <v>1245</v>
      </c>
      <c r="H529">
        <v>1231</v>
      </c>
      <c r="I529">
        <v>14</v>
      </c>
      <c r="J529">
        <v>13.8</v>
      </c>
      <c r="K529">
        <v>376</v>
      </c>
      <c r="L529">
        <v>0.78333333333333333</v>
      </c>
      <c r="M529">
        <v>0.76156914893617023</v>
      </c>
      <c r="N529">
        <v>0.98875502008032123</v>
      </c>
      <c r="O529">
        <v>0.58985416666666668</v>
      </c>
    </row>
    <row r="530" spans="1:15" x14ac:dyDescent="0.3">
      <c r="A530">
        <v>529</v>
      </c>
      <c r="B530" s="1">
        <v>45702</v>
      </c>
      <c r="C530" t="s">
        <v>15</v>
      </c>
      <c r="D530" t="s">
        <v>16</v>
      </c>
      <c r="E530">
        <v>480</v>
      </c>
      <c r="F530">
        <v>10</v>
      </c>
      <c r="G530">
        <v>1784</v>
      </c>
      <c r="H530">
        <v>1714</v>
      </c>
      <c r="I530">
        <v>70</v>
      </c>
      <c r="J530">
        <v>12</v>
      </c>
      <c r="K530">
        <v>470</v>
      </c>
      <c r="L530">
        <v>0.97916666666666663</v>
      </c>
      <c r="M530">
        <v>0.75914893617021273</v>
      </c>
      <c r="N530">
        <v>0.96076233183856508</v>
      </c>
      <c r="O530">
        <v>0.71416666666666662</v>
      </c>
    </row>
    <row r="531" spans="1:15" x14ac:dyDescent="0.3">
      <c r="A531">
        <v>530</v>
      </c>
      <c r="B531" s="1">
        <v>45702</v>
      </c>
      <c r="C531" t="s">
        <v>15</v>
      </c>
      <c r="D531" t="s">
        <v>17</v>
      </c>
      <c r="E531">
        <v>480</v>
      </c>
      <c r="F531">
        <v>160</v>
      </c>
      <c r="G531">
        <v>1274</v>
      </c>
      <c r="H531">
        <v>1227</v>
      </c>
      <c r="I531">
        <v>47</v>
      </c>
      <c r="J531">
        <v>12.6</v>
      </c>
      <c r="K531">
        <v>320</v>
      </c>
      <c r="L531">
        <v>0.66666666666666663</v>
      </c>
      <c r="M531">
        <v>0.83606249999999993</v>
      </c>
      <c r="N531">
        <v>0.96310832025117743</v>
      </c>
      <c r="O531">
        <v>0.53681250000000003</v>
      </c>
    </row>
    <row r="532" spans="1:15" x14ac:dyDescent="0.3">
      <c r="A532">
        <v>531</v>
      </c>
      <c r="B532" s="1">
        <v>45702</v>
      </c>
      <c r="C532" t="s">
        <v>15</v>
      </c>
      <c r="D532" t="s">
        <v>18</v>
      </c>
      <c r="E532">
        <v>480</v>
      </c>
      <c r="F532">
        <v>0</v>
      </c>
      <c r="G532">
        <v>1850</v>
      </c>
      <c r="H532">
        <v>1755</v>
      </c>
      <c r="I532">
        <v>95</v>
      </c>
      <c r="J532">
        <v>13.2</v>
      </c>
      <c r="K532">
        <v>480</v>
      </c>
      <c r="L532">
        <v>1</v>
      </c>
      <c r="M532">
        <v>0.84791666666666665</v>
      </c>
      <c r="N532">
        <v>0.94864864864864862</v>
      </c>
      <c r="O532">
        <v>0.80437499999999995</v>
      </c>
    </row>
    <row r="533" spans="1:15" x14ac:dyDescent="0.3">
      <c r="A533">
        <v>532</v>
      </c>
      <c r="B533" s="1">
        <v>45702</v>
      </c>
      <c r="C533" t="s">
        <v>15</v>
      </c>
      <c r="D533" t="s">
        <v>19</v>
      </c>
      <c r="E533">
        <v>480</v>
      </c>
      <c r="F533">
        <v>76</v>
      </c>
      <c r="G533">
        <v>1693</v>
      </c>
      <c r="H533">
        <v>1668</v>
      </c>
      <c r="I533">
        <v>25</v>
      </c>
      <c r="J533">
        <v>13.8</v>
      </c>
      <c r="K533">
        <v>404</v>
      </c>
      <c r="L533">
        <v>0.84166666666666667</v>
      </c>
      <c r="M533">
        <v>0.96383663366336636</v>
      </c>
      <c r="N533">
        <v>0.98523331364441824</v>
      </c>
      <c r="O533">
        <v>0.79925000000000002</v>
      </c>
    </row>
    <row r="534" spans="1:15" x14ac:dyDescent="0.3">
      <c r="A534">
        <v>533</v>
      </c>
      <c r="B534" s="1">
        <v>45702</v>
      </c>
      <c r="C534" t="s">
        <v>20</v>
      </c>
      <c r="D534" t="s">
        <v>16</v>
      </c>
      <c r="E534">
        <v>480</v>
      </c>
      <c r="F534">
        <v>5</v>
      </c>
      <c r="G534">
        <v>1896</v>
      </c>
      <c r="H534">
        <v>1806</v>
      </c>
      <c r="I534">
        <v>90</v>
      </c>
      <c r="J534">
        <v>12</v>
      </c>
      <c r="K534">
        <v>475</v>
      </c>
      <c r="L534">
        <v>0.98958333333333337</v>
      </c>
      <c r="M534">
        <v>0.7983157894736842</v>
      </c>
      <c r="N534">
        <v>0.95253164556962022</v>
      </c>
      <c r="O534">
        <v>0.75250000000000006</v>
      </c>
    </row>
    <row r="535" spans="1:15" x14ac:dyDescent="0.3">
      <c r="A535">
        <v>534</v>
      </c>
      <c r="B535" s="1">
        <v>45702</v>
      </c>
      <c r="C535" t="s">
        <v>20</v>
      </c>
      <c r="D535" t="s">
        <v>17</v>
      </c>
      <c r="E535">
        <v>480</v>
      </c>
      <c r="F535">
        <v>0</v>
      </c>
      <c r="G535">
        <v>1973</v>
      </c>
      <c r="H535">
        <v>1910</v>
      </c>
      <c r="I535">
        <v>63</v>
      </c>
      <c r="J535">
        <v>12.6</v>
      </c>
      <c r="K535">
        <v>480</v>
      </c>
      <c r="L535">
        <v>1</v>
      </c>
      <c r="M535">
        <v>0.8631875</v>
      </c>
      <c r="N535">
        <v>0.96806893056259502</v>
      </c>
      <c r="O535">
        <v>0.83562499999999995</v>
      </c>
    </row>
    <row r="536" spans="1:15" x14ac:dyDescent="0.3">
      <c r="A536">
        <v>535</v>
      </c>
      <c r="B536" s="1">
        <v>45702</v>
      </c>
      <c r="C536" t="s">
        <v>20</v>
      </c>
      <c r="D536" t="s">
        <v>18</v>
      </c>
      <c r="E536">
        <v>480</v>
      </c>
      <c r="F536">
        <v>5</v>
      </c>
      <c r="G536">
        <v>1903</v>
      </c>
      <c r="H536">
        <v>1808</v>
      </c>
      <c r="I536">
        <v>95</v>
      </c>
      <c r="J536">
        <v>13.2</v>
      </c>
      <c r="K536">
        <v>475</v>
      </c>
      <c r="L536">
        <v>0.98958333333333337</v>
      </c>
      <c r="M536">
        <v>0.8813894736842105</v>
      </c>
      <c r="N536">
        <v>0.95007882291119283</v>
      </c>
      <c r="O536">
        <v>0.82866666666666666</v>
      </c>
    </row>
    <row r="537" spans="1:15" x14ac:dyDescent="0.3">
      <c r="A537">
        <v>536</v>
      </c>
      <c r="B537" s="1">
        <v>45702</v>
      </c>
      <c r="C537" t="s">
        <v>20</v>
      </c>
      <c r="D537" t="s">
        <v>19</v>
      </c>
      <c r="E537">
        <v>480</v>
      </c>
      <c r="F537">
        <v>14</v>
      </c>
      <c r="G537">
        <v>1687</v>
      </c>
      <c r="H537">
        <v>1636</v>
      </c>
      <c r="I537">
        <v>51</v>
      </c>
      <c r="J537">
        <v>13.8</v>
      </c>
      <c r="K537">
        <v>466</v>
      </c>
      <c r="L537">
        <v>0.97083333333333333</v>
      </c>
      <c r="M537">
        <v>0.8326394849785409</v>
      </c>
      <c r="N537">
        <v>0.96976882039122703</v>
      </c>
      <c r="O537">
        <v>0.78391666666666682</v>
      </c>
    </row>
    <row r="538" spans="1:15" x14ac:dyDescent="0.3">
      <c r="A538">
        <v>537</v>
      </c>
      <c r="B538" s="1">
        <v>45702</v>
      </c>
      <c r="C538" t="s">
        <v>21</v>
      </c>
      <c r="D538" t="s">
        <v>16</v>
      </c>
      <c r="E538">
        <v>480</v>
      </c>
      <c r="F538">
        <v>22</v>
      </c>
      <c r="G538">
        <v>2084</v>
      </c>
      <c r="H538">
        <v>2044</v>
      </c>
      <c r="I538">
        <v>40</v>
      </c>
      <c r="J538">
        <v>12</v>
      </c>
      <c r="K538">
        <v>458</v>
      </c>
      <c r="L538">
        <v>0.95416666666666672</v>
      </c>
      <c r="M538">
        <v>0.91004366812227078</v>
      </c>
      <c r="N538">
        <v>0.98080614203454897</v>
      </c>
      <c r="O538">
        <v>0.85166666666666679</v>
      </c>
    </row>
    <row r="539" spans="1:15" x14ac:dyDescent="0.3">
      <c r="A539">
        <v>538</v>
      </c>
      <c r="B539" s="1">
        <v>45702</v>
      </c>
      <c r="C539" t="s">
        <v>21</v>
      </c>
      <c r="D539" t="s">
        <v>17</v>
      </c>
      <c r="E539">
        <v>480</v>
      </c>
      <c r="F539">
        <v>56</v>
      </c>
      <c r="G539">
        <v>1652</v>
      </c>
      <c r="H539">
        <v>1617</v>
      </c>
      <c r="I539">
        <v>35</v>
      </c>
      <c r="J539">
        <v>12.6</v>
      </c>
      <c r="K539">
        <v>424</v>
      </c>
      <c r="L539">
        <v>0.8833333333333333</v>
      </c>
      <c r="M539">
        <v>0.81820754716981137</v>
      </c>
      <c r="N539">
        <v>0.97881355932203384</v>
      </c>
      <c r="O539">
        <v>0.70743749999999994</v>
      </c>
    </row>
    <row r="540" spans="1:15" x14ac:dyDescent="0.3">
      <c r="A540">
        <v>539</v>
      </c>
      <c r="B540" s="1">
        <v>45702</v>
      </c>
      <c r="C540" t="s">
        <v>21</v>
      </c>
      <c r="D540" t="s">
        <v>18</v>
      </c>
      <c r="E540">
        <v>480</v>
      </c>
      <c r="F540">
        <v>52</v>
      </c>
      <c r="G540">
        <v>1760</v>
      </c>
      <c r="H540">
        <v>1670</v>
      </c>
      <c r="I540">
        <v>90</v>
      </c>
      <c r="J540">
        <v>13.2</v>
      </c>
      <c r="K540">
        <v>428</v>
      </c>
      <c r="L540">
        <v>0.89166666666666672</v>
      </c>
      <c r="M540">
        <v>0.90467289719626165</v>
      </c>
      <c r="N540">
        <v>0.94886363636363635</v>
      </c>
      <c r="O540">
        <v>0.76541666666666663</v>
      </c>
    </row>
    <row r="541" spans="1:15" x14ac:dyDescent="0.3">
      <c r="A541">
        <v>540</v>
      </c>
      <c r="B541" s="1">
        <v>45702</v>
      </c>
      <c r="C541" t="s">
        <v>21</v>
      </c>
      <c r="D541" t="s">
        <v>19</v>
      </c>
      <c r="E541">
        <v>480</v>
      </c>
      <c r="F541">
        <v>13</v>
      </c>
      <c r="G541">
        <v>1836</v>
      </c>
      <c r="H541">
        <v>1793</v>
      </c>
      <c r="I541">
        <v>43</v>
      </c>
      <c r="J541">
        <v>13.8</v>
      </c>
      <c r="K541">
        <v>467</v>
      </c>
      <c r="L541">
        <v>0.97291666666666665</v>
      </c>
      <c r="M541">
        <v>0.90423982869379027</v>
      </c>
      <c r="N541">
        <v>0.9765795206971678</v>
      </c>
      <c r="O541">
        <v>0.8591458333333335</v>
      </c>
    </row>
    <row r="542" spans="1:15" x14ac:dyDescent="0.3">
      <c r="A542">
        <v>541</v>
      </c>
      <c r="B542" s="1">
        <v>45703</v>
      </c>
      <c r="C542" t="s">
        <v>15</v>
      </c>
      <c r="D542" t="s">
        <v>16</v>
      </c>
      <c r="E542">
        <v>480</v>
      </c>
      <c r="F542">
        <v>0</v>
      </c>
      <c r="G542">
        <v>2347</v>
      </c>
      <c r="H542">
        <v>2306</v>
      </c>
      <c r="I542">
        <v>41</v>
      </c>
      <c r="J542">
        <v>12</v>
      </c>
      <c r="K542">
        <v>480</v>
      </c>
      <c r="L542">
        <v>1</v>
      </c>
      <c r="M542">
        <v>0.97791666666666666</v>
      </c>
      <c r="N542">
        <v>0.98253089049850872</v>
      </c>
      <c r="O542">
        <v>0.96083333333333332</v>
      </c>
    </row>
    <row r="543" spans="1:15" x14ac:dyDescent="0.3">
      <c r="A543">
        <v>542</v>
      </c>
      <c r="B543" s="1">
        <v>45703</v>
      </c>
      <c r="C543" t="s">
        <v>15</v>
      </c>
      <c r="D543" t="s">
        <v>17</v>
      </c>
      <c r="E543">
        <v>480</v>
      </c>
      <c r="F543">
        <v>154</v>
      </c>
      <c r="G543">
        <v>1442</v>
      </c>
      <c r="H543">
        <v>1427</v>
      </c>
      <c r="I543">
        <v>15</v>
      </c>
      <c r="J543">
        <v>12.6</v>
      </c>
      <c r="K543">
        <v>326</v>
      </c>
      <c r="L543">
        <v>0.6791666666666667</v>
      </c>
      <c r="M543">
        <v>0.92889570552147238</v>
      </c>
      <c r="N543">
        <v>0.98959778085991679</v>
      </c>
      <c r="O543">
        <v>0.62431250000000005</v>
      </c>
    </row>
    <row r="544" spans="1:15" x14ac:dyDescent="0.3">
      <c r="A544">
        <v>543</v>
      </c>
      <c r="B544" s="1">
        <v>45703</v>
      </c>
      <c r="C544" t="s">
        <v>15</v>
      </c>
      <c r="D544" t="s">
        <v>18</v>
      </c>
      <c r="E544">
        <v>480</v>
      </c>
      <c r="F544">
        <v>120</v>
      </c>
      <c r="G544">
        <v>1337</v>
      </c>
      <c r="H544">
        <v>1310</v>
      </c>
      <c r="I544">
        <v>27</v>
      </c>
      <c r="J544">
        <v>13.2</v>
      </c>
      <c r="K544">
        <v>360</v>
      </c>
      <c r="L544">
        <v>0.75</v>
      </c>
      <c r="M544">
        <v>0.81705555555555542</v>
      </c>
      <c r="N544">
        <v>0.97980553477935672</v>
      </c>
      <c r="O544">
        <v>0.6004166666666666</v>
      </c>
    </row>
    <row r="545" spans="1:15" x14ac:dyDescent="0.3">
      <c r="A545">
        <v>544</v>
      </c>
      <c r="B545" s="1">
        <v>45703</v>
      </c>
      <c r="C545" t="s">
        <v>15</v>
      </c>
      <c r="D545" t="s">
        <v>19</v>
      </c>
      <c r="E545">
        <v>480</v>
      </c>
      <c r="F545">
        <v>5</v>
      </c>
      <c r="G545">
        <v>1608</v>
      </c>
      <c r="H545">
        <v>1514</v>
      </c>
      <c r="I545">
        <v>94</v>
      </c>
      <c r="J545">
        <v>13.8</v>
      </c>
      <c r="K545">
        <v>475</v>
      </c>
      <c r="L545">
        <v>0.98958333333333337</v>
      </c>
      <c r="M545">
        <v>0.77861052631578953</v>
      </c>
      <c r="N545">
        <v>0.94154228855721389</v>
      </c>
      <c r="O545">
        <v>0.72545833333333343</v>
      </c>
    </row>
    <row r="546" spans="1:15" x14ac:dyDescent="0.3">
      <c r="A546">
        <v>545</v>
      </c>
      <c r="B546" s="1">
        <v>45703</v>
      </c>
      <c r="C546" t="s">
        <v>20</v>
      </c>
      <c r="D546" t="s">
        <v>16</v>
      </c>
      <c r="E546">
        <v>480</v>
      </c>
      <c r="F546">
        <v>61</v>
      </c>
      <c r="G546">
        <v>1848</v>
      </c>
      <c r="H546">
        <v>1790</v>
      </c>
      <c r="I546">
        <v>58</v>
      </c>
      <c r="J546">
        <v>12</v>
      </c>
      <c r="K546">
        <v>419</v>
      </c>
      <c r="L546">
        <v>0.87291666666666667</v>
      </c>
      <c r="M546">
        <v>0.88210023866348453</v>
      </c>
      <c r="N546">
        <v>0.9686147186147186</v>
      </c>
      <c r="O546">
        <v>0.74583333333333335</v>
      </c>
    </row>
    <row r="547" spans="1:15" x14ac:dyDescent="0.3">
      <c r="A547">
        <v>546</v>
      </c>
      <c r="B547" s="1">
        <v>45703</v>
      </c>
      <c r="C547" t="s">
        <v>20</v>
      </c>
      <c r="D547" t="s">
        <v>17</v>
      </c>
      <c r="E547">
        <v>480</v>
      </c>
      <c r="F547">
        <v>53</v>
      </c>
      <c r="G547">
        <v>1634</v>
      </c>
      <c r="H547">
        <v>1567</v>
      </c>
      <c r="I547">
        <v>67</v>
      </c>
      <c r="J547">
        <v>12.6</v>
      </c>
      <c r="K547">
        <v>427</v>
      </c>
      <c r="L547">
        <v>0.88958333333333328</v>
      </c>
      <c r="M547">
        <v>0.80360655737704911</v>
      </c>
      <c r="N547">
        <v>0.95899632802937573</v>
      </c>
      <c r="O547">
        <v>0.68556249999999985</v>
      </c>
    </row>
    <row r="548" spans="1:15" x14ac:dyDescent="0.3">
      <c r="A548">
        <v>547</v>
      </c>
      <c r="B548" s="1">
        <v>45703</v>
      </c>
      <c r="C548" t="s">
        <v>20</v>
      </c>
      <c r="D548" t="s">
        <v>18</v>
      </c>
      <c r="E548">
        <v>480</v>
      </c>
      <c r="F548">
        <v>6</v>
      </c>
      <c r="G548">
        <v>1916</v>
      </c>
      <c r="H548">
        <v>1816</v>
      </c>
      <c r="I548">
        <v>100</v>
      </c>
      <c r="J548">
        <v>13.2</v>
      </c>
      <c r="K548">
        <v>474</v>
      </c>
      <c r="L548">
        <v>0.98750000000000004</v>
      </c>
      <c r="M548">
        <v>0.8892827004219408</v>
      </c>
      <c r="N548">
        <v>0.94780793319415446</v>
      </c>
      <c r="O548">
        <v>0.83233333333333315</v>
      </c>
    </row>
    <row r="549" spans="1:15" x14ac:dyDescent="0.3">
      <c r="A549">
        <v>548</v>
      </c>
      <c r="B549" s="1">
        <v>45703</v>
      </c>
      <c r="C549" t="s">
        <v>20</v>
      </c>
      <c r="D549" t="s">
        <v>19</v>
      </c>
      <c r="E549">
        <v>480</v>
      </c>
      <c r="F549">
        <v>0</v>
      </c>
      <c r="G549">
        <v>1917</v>
      </c>
      <c r="H549">
        <v>1866</v>
      </c>
      <c r="I549">
        <v>51</v>
      </c>
      <c r="J549">
        <v>13.8</v>
      </c>
      <c r="K549">
        <v>480</v>
      </c>
      <c r="L549">
        <v>1</v>
      </c>
      <c r="M549">
        <v>0.91856250000000006</v>
      </c>
      <c r="N549">
        <v>0.97339593114240996</v>
      </c>
      <c r="O549">
        <v>0.89412500000000006</v>
      </c>
    </row>
    <row r="550" spans="1:15" x14ac:dyDescent="0.3">
      <c r="A550">
        <v>549</v>
      </c>
      <c r="B550" s="1">
        <v>45703</v>
      </c>
      <c r="C550" t="s">
        <v>21</v>
      </c>
      <c r="D550" t="s">
        <v>16</v>
      </c>
      <c r="E550">
        <v>480</v>
      </c>
      <c r="F550">
        <v>18</v>
      </c>
      <c r="G550">
        <v>1747</v>
      </c>
      <c r="H550">
        <v>1675</v>
      </c>
      <c r="I550">
        <v>72</v>
      </c>
      <c r="J550">
        <v>12</v>
      </c>
      <c r="K550">
        <v>462</v>
      </c>
      <c r="L550">
        <v>0.96250000000000002</v>
      </c>
      <c r="M550">
        <v>0.75627705627705633</v>
      </c>
      <c r="N550">
        <v>0.95878649112764736</v>
      </c>
      <c r="O550">
        <v>0.69791666666666674</v>
      </c>
    </row>
    <row r="551" spans="1:15" x14ac:dyDescent="0.3">
      <c r="A551">
        <v>550</v>
      </c>
      <c r="B551" s="1">
        <v>45703</v>
      </c>
      <c r="C551" t="s">
        <v>21</v>
      </c>
      <c r="D551" t="s">
        <v>17</v>
      </c>
      <c r="E551">
        <v>480</v>
      </c>
      <c r="F551">
        <v>54</v>
      </c>
      <c r="G551">
        <v>1936</v>
      </c>
      <c r="H551">
        <v>1861</v>
      </c>
      <c r="I551">
        <v>75</v>
      </c>
      <c r="J551">
        <v>12.6</v>
      </c>
      <c r="K551">
        <v>426</v>
      </c>
      <c r="L551">
        <v>0.88749999999999996</v>
      </c>
      <c r="M551">
        <v>0.95436619718309856</v>
      </c>
      <c r="N551">
        <v>0.96126033057851235</v>
      </c>
      <c r="O551">
        <v>0.81418749999999995</v>
      </c>
    </row>
    <row r="552" spans="1:15" x14ac:dyDescent="0.3">
      <c r="A552">
        <v>551</v>
      </c>
      <c r="B552" s="1">
        <v>45703</v>
      </c>
      <c r="C552" t="s">
        <v>21</v>
      </c>
      <c r="D552" t="s">
        <v>18</v>
      </c>
      <c r="E552">
        <v>480</v>
      </c>
      <c r="F552">
        <v>153</v>
      </c>
      <c r="G552">
        <v>1253</v>
      </c>
      <c r="H552">
        <v>1232</v>
      </c>
      <c r="I552">
        <v>21</v>
      </c>
      <c r="J552">
        <v>13.2</v>
      </c>
      <c r="K552">
        <v>327</v>
      </c>
      <c r="L552">
        <v>0.68125000000000002</v>
      </c>
      <c r="M552">
        <v>0.84299694189602437</v>
      </c>
      <c r="N552">
        <v>0.98324022346368711</v>
      </c>
      <c r="O552">
        <v>0.56466666666666665</v>
      </c>
    </row>
    <row r="553" spans="1:15" x14ac:dyDescent="0.3">
      <c r="A553">
        <v>552</v>
      </c>
      <c r="B553" s="1">
        <v>45703</v>
      </c>
      <c r="C553" t="s">
        <v>21</v>
      </c>
      <c r="D553" t="s">
        <v>19</v>
      </c>
      <c r="E553">
        <v>480</v>
      </c>
      <c r="F553">
        <v>23</v>
      </c>
      <c r="G553">
        <v>1901</v>
      </c>
      <c r="H553">
        <v>1807</v>
      </c>
      <c r="I553">
        <v>94</v>
      </c>
      <c r="J553">
        <v>13.8</v>
      </c>
      <c r="K553">
        <v>457</v>
      </c>
      <c r="L553">
        <v>0.95208333333333328</v>
      </c>
      <c r="M553">
        <v>0.95673960612691478</v>
      </c>
      <c r="N553">
        <v>0.9505523408732246</v>
      </c>
      <c r="O553">
        <v>0.8658541666666667</v>
      </c>
    </row>
    <row r="554" spans="1:15" x14ac:dyDescent="0.3">
      <c r="A554">
        <v>553</v>
      </c>
      <c r="B554" s="1">
        <v>45704</v>
      </c>
      <c r="C554" t="s">
        <v>15</v>
      </c>
      <c r="D554" t="s">
        <v>16</v>
      </c>
      <c r="E554">
        <v>480</v>
      </c>
      <c r="F554">
        <v>89</v>
      </c>
      <c r="G554">
        <v>1473</v>
      </c>
      <c r="H554">
        <v>1405</v>
      </c>
      <c r="I554">
        <v>68</v>
      </c>
      <c r="J554">
        <v>12</v>
      </c>
      <c r="K554">
        <v>391</v>
      </c>
      <c r="L554">
        <v>0.81458333333333333</v>
      </c>
      <c r="M554">
        <v>0.75345268542199484</v>
      </c>
      <c r="N554">
        <v>0.95383570943652407</v>
      </c>
      <c r="O554">
        <v>0.58541666666666659</v>
      </c>
    </row>
    <row r="555" spans="1:15" x14ac:dyDescent="0.3">
      <c r="A555">
        <v>554</v>
      </c>
      <c r="B555" s="1">
        <v>45704</v>
      </c>
      <c r="C555" t="s">
        <v>15</v>
      </c>
      <c r="D555" t="s">
        <v>17</v>
      </c>
      <c r="E555">
        <v>480</v>
      </c>
      <c r="F555">
        <v>8</v>
      </c>
      <c r="G555">
        <v>1755</v>
      </c>
      <c r="H555">
        <v>1730</v>
      </c>
      <c r="I555">
        <v>25</v>
      </c>
      <c r="J555">
        <v>12.6</v>
      </c>
      <c r="K555">
        <v>472</v>
      </c>
      <c r="L555">
        <v>0.98333333333333328</v>
      </c>
      <c r="M555">
        <v>0.78082627118644066</v>
      </c>
      <c r="N555">
        <v>0.98575498575498577</v>
      </c>
      <c r="O555">
        <v>0.75687499999999996</v>
      </c>
    </row>
    <row r="556" spans="1:15" x14ac:dyDescent="0.3">
      <c r="A556">
        <v>555</v>
      </c>
      <c r="B556" s="1">
        <v>45704</v>
      </c>
      <c r="C556" t="s">
        <v>15</v>
      </c>
      <c r="D556" t="s">
        <v>18</v>
      </c>
      <c r="E556">
        <v>480</v>
      </c>
      <c r="F556">
        <v>87</v>
      </c>
      <c r="G556">
        <v>1486</v>
      </c>
      <c r="H556">
        <v>1453</v>
      </c>
      <c r="I556">
        <v>33</v>
      </c>
      <c r="J556">
        <v>13.2</v>
      </c>
      <c r="K556">
        <v>393</v>
      </c>
      <c r="L556">
        <v>0.81874999999999998</v>
      </c>
      <c r="M556">
        <v>0.83185750636132316</v>
      </c>
      <c r="N556">
        <v>0.977792732166891</v>
      </c>
      <c r="O556">
        <v>0.66595833333333343</v>
      </c>
    </row>
    <row r="557" spans="1:15" x14ac:dyDescent="0.3">
      <c r="A557">
        <v>556</v>
      </c>
      <c r="B557" s="1">
        <v>45704</v>
      </c>
      <c r="C557" t="s">
        <v>15</v>
      </c>
      <c r="D557" t="s">
        <v>19</v>
      </c>
      <c r="E557">
        <v>480</v>
      </c>
      <c r="F557">
        <v>0</v>
      </c>
      <c r="G557">
        <v>1824</v>
      </c>
      <c r="H557">
        <v>1729</v>
      </c>
      <c r="I557">
        <v>95</v>
      </c>
      <c r="J557">
        <v>13.8</v>
      </c>
      <c r="K557">
        <v>480</v>
      </c>
      <c r="L557">
        <v>1</v>
      </c>
      <c r="M557">
        <v>0.874</v>
      </c>
      <c r="N557">
        <v>0.94791666666666663</v>
      </c>
      <c r="O557">
        <v>0.82847916666666666</v>
      </c>
    </row>
    <row r="558" spans="1:15" x14ac:dyDescent="0.3">
      <c r="A558">
        <v>557</v>
      </c>
      <c r="B558" s="1">
        <v>45704</v>
      </c>
      <c r="C558" t="s">
        <v>20</v>
      </c>
      <c r="D558" t="s">
        <v>16</v>
      </c>
      <c r="E558">
        <v>480</v>
      </c>
      <c r="F558">
        <v>28</v>
      </c>
      <c r="G558">
        <v>1858</v>
      </c>
      <c r="H558">
        <v>1831</v>
      </c>
      <c r="I558">
        <v>27</v>
      </c>
      <c r="J558">
        <v>12</v>
      </c>
      <c r="K558">
        <v>452</v>
      </c>
      <c r="L558">
        <v>0.94166666666666665</v>
      </c>
      <c r="M558">
        <v>0.8221238938053097</v>
      </c>
      <c r="N558">
        <v>0.9854682454251884</v>
      </c>
      <c r="O558">
        <v>0.76291666666666669</v>
      </c>
    </row>
    <row r="559" spans="1:15" x14ac:dyDescent="0.3">
      <c r="A559">
        <v>558</v>
      </c>
      <c r="B559" s="1">
        <v>45704</v>
      </c>
      <c r="C559" t="s">
        <v>20</v>
      </c>
      <c r="D559" t="s">
        <v>17</v>
      </c>
      <c r="E559">
        <v>480</v>
      </c>
      <c r="F559">
        <v>0</v>
      </c>
      <c r="G559">
        <v>2233</v>
      </c>
      <c r="H559">
        <v>2162</v>
      </c>
      <c r="I559">
        <v>71</v>
      </c>
      <c r="J559">
        <v>12.6</v>
      </c>
      <c r="K559">
        <v>480</v>
      </c>
      <c r="L559">
        <v>1</v>
      </c>
      <c r="M559">
        <v>0.97693750000000001</v>
      </c>
      <c r="N559">
        <v>0.96820420958351994</v>
      </c>
      <c r="O559">
        <v>0.94587500000000002</v>
      </c>
    </row>
    <row r="560" spans="1:15" x14ac:dyDescent="0.3">
      <c r="A560">
        <v>559</v>
      </c>
      <c r="B560" s="1">
        <v>45704</v>
      </c>
      <c r="C560" t="s">
        <v>20</v>
      </c>
      <c r="D560" t="s">
        <v>18</v>
      </c>
      <c r="E560">
        <v>480</v>
      </c>
      <c r="F560">
        <v>94</v>
      </c>
      <c r="G560">
        <v>1367</v>
      </c>
      <c r="H560">
        <v>1314</v>
      </c>
      <c r="I560">
        <v>53</v>
      </c>
      <c r="J560">
        <v>13.2</v>
      </c>
      <c r="K560">
        <v>386</v>
      </c>
      <c r="L560">
        <v>0.8041666666666667</v>
      </c>
      <c r="M560">
        <v>0.77911917098445582</v>
      </c>
      <c r="N560">
        <v>0.96122896854425754</v>
      </c>
      <c r="O560">
        <v>0.60224999999999995</v>
      </c>
    </row>
    <row r="561" spans="1:15" x14ac:dyDescent="0.3">
      <c r="A561">
        <v>560</v>
      </c>
      <c r="B561" s="1">
        <v>45704</v>
      </c>
      <c r="C561" t="s">
        <v>20</v>
      </c>
      <c r="D561" t="s">
        <v>19</v>
      </c>
      <c r="E561">
        <v>480</v>
      </c>
      <c r="F561">
        <v>115</v>
      </c>
      <c r="G561">
        <v>1261</v>
      </c>
      <c r="H561">
        <v>1241</v>
      </c>
      <c r="I561">
        <v>20</v>
      </c>
      <c r="J561">
        <v>13.8</v>
      </c>
      <c r="K561">
        <v>365</v>
      </c>
      <c r="L561">
        <v>0.76041666666666663</v>
      </c>
      <c r="M561">
        <v>0.79460273972602735</v>
      </c>
      <c r="N561">
        <v>0.98413957176843769</v>
      </c>
      <c r="O561">
        <v>0.59464583333333321</v>
      </c>
    </row>
    <row r="562" spans="1:15" x14ac:dyDescent="0.3">
      <c r="A562">
        <v>561</v>
      </c>
      <c r="B562" s="1">
        <v>45704</v>
      </c>
      <c r="C562" t="s">
        <v>21</v>
      </c>
      <c r="D562" t="s">
        <v>16</v>
      </c>
      <c r="E562">
        <v>480</v>
      </c>
      <c r="F562">
        <v>17</v>
      </c>
      <c r="G562">
        <v>2024</v>
      </c>
      <c r="H562">
        <v>1996</v>
      </c>
      <c r="I562">
        <v>28</v>
      </c>
      <c r="J562">
        <v>12</v>
      </c>
      <c r="K562">
        <v>463</v>
      </c>
      <c r="L562">
        <v>0.96458333333333335</v>
      </c>
      <c r="M562">
        <v>0.8742980561555076</v>
      </c>
      <c r="N562">
        <v>0.98616600790513831</v>
      </c>
      <c r="O562">
        <v>0.83166666666666667</v>
      </c>
    </row>
    <row r="563" spans="1:15" x14ac:dyDescent="0.3">
      <c r="A563">
        <v>562</v>
      </c>
      <c r="B563" s="1">
        <v>45704</v>
      </c>
      <c r="C563" t="s">
        <v>21</v>
      </c>
      <c r="D563" t="s">
        <v>17</v>
      </c>
      <c r="E563">
        <v>480</v>
      </c>
      <c r="F563">
        <v>0</v>
      </c>
      <c r="G563">
        <v>1769</v>
      </c>
      <c r="H563">
        <v>1700</v>
      </c>
      <c r="I563">
        <v>69</v>
      </c>
      <c r="J563">
        <v>12.6</v>
      </c>
      <c r="K563">
        <v>480</v>
      </c>
      <c r="L563">
        <v>1</v>
      </c>
      <c r="M563">
        <v>0.77393749999999994</v>
      </c>
      <c r="N563">
        <v>0.96099491237987567</v>
      </c>
      <c r="O563">
        <v>0.74375000000000002</v>
      </c>
    </row>
    <row r="564" spans="1:15" x14ac:dyDescent="0.3">
      <c r="A564">
        <v>563</v>
      </c>
      <c r="B564" s="1">
        <v>45704</v>
      </c>
      <c r="C564" t="s">
        <v>21</v>
      </c>
      <c r="D564" t="s">
        <v>18</v>
      </c>
      <c r="E564">
        <v>480</v>
      </c>
      <c r="F564">
        <v>51</v>
      </c>
      <c r="G564">
        <v>1481</v>
      </c>
      <c r="H564">
        <v>1430</v>
      </c>
      <c r="I564">
        <v>51</v>
      </c>
      <c r="J564">
        <v>13.2</v>
      </c>
      <c r="K564">
        <v>429</v>
      </c>
      <c r="L564">
        <v>0.89375000000000004</v>
      </c>
      <c r="M564">
        <v>0.75948717948717948</v>
      </c>
      <c r="N564">
        <v>0.96556380823767729</v>
      </c>
      <c r="O564">
        <v>0.65541666666666676</v>
      </c>
    </row>
    <row r="565" spans="1:15" x14ac:dyDescent="0.3">
      <c r="A565">
        <v>564</v>
      </c>
      <c r="B565" s="1">
        <v>45704</v>
      </c>
      <c r="C565" t="s">
        <v>21</v>
      </c>
      <c r="D565" t="s">
        <v>19</v>
      </c>
      <c r="E565">
        <v>480</v>
      </c>
      <c r="F565">
        <v>42</v>
      </c>
      <c r="G565">
        <v>1821</v>
      </c>
      <c r="H565">
        <v>1730</v>
      </c>
      <c r="I565">
        <v>91</v>
      </c>
      <c r="J565">
        <v>13.8</v>
      </c>
      <c r="K565">
        <v>438</v>
      </c>
      <c r="L565">
        <v>0.91249999999999998</v>
      </c>
      <c r="M565">
        <v>0.95623287671232893</v>
      </c>
      <c r="N565">
        <v>0.95002745744096651</v>
      </c>
      <c r="O565">
        <v>0.82895833333333346</v>
      </c>
    </row>
    <row r="566" spans="1:15" x14ac:dyDescent="0.3">
      <c r="A566">
        <v>565</v>
      </c>
      <c r="B566" s="1">
        <v>45705</v>
      </c>
      <c r="C566" t="s">
        <v>15</v>
      </c>
      <c r="D566" t="s">
        <v>16</v>
      </c>
      <c r="E566">
        <v>480</v>
      </c>
      <c r="F566">
        <v>72</v>
      </c>
      <c r="G566">
        <v>1791</v>
      </c>
      <c r="H566">
        <v>1741</v>
      </c>
      <c r="I566">
        <v>50</v>
      </c>
      <c r="J566">
        <v>12</v>
      </c>
      <c r="K566">
        <v>408</v>
      </c>
      <c r="L566">
        <v>0.85</v>
      </c>
      <c r="M566">
        <v>0.87794117647058822</v>
      </c>
      <c r="N566">
        <v>0.97208263539921835</v>
      </c>
      <c r="O566">
        <v>0.72541666666666671</v>
      </c>
    </row>
    <row r="567" spans="1:15" x14ac:dyDescent="0.3">
      <c r="A567">
        <v>566</v>
      </c>
      <c r="B567" s="1">
        <v>45705</v>
      </c>
      <c r="C567" t="s">
        <v>15</v>
      </c>
      <c r="D567" t="s">
        <v>17</v>
      </c>
      <c r="E567">
        <v>480</v>
      </c>
      <c r="F567">
        <v>5</v>
      </c>
      <c r="G567">
        <v>2095</v>
      </c>
      <c r="H567">
        <v>2001</v>
      </c>
      <c r="I567">
        <v>94</v>
      </c>
      <c r="J567">
        <v>12.6</v>
      </c>
      <c r="K567">
        <v>475</v>
      </c>
      <c r="L567">
        <v>0.98958333333333337</v>
      </c>
      <c r="M567">
        <v>0.92621052631578948</v>
      </c>
      <c r="N567">
        <v>0.95513126491646783</v>
      </c>
      <c r="O567">
        <v>0.87543750000000009</v>
      </c>
    </row>
    <row r="568" spans="1:15" x14ac:dyDescent="0.3">
      <c r="A568">
        <v>567</v>
      </c>
      <c r="B568" s="1">
        <v>45705</v>
      </c>
      <c r="C568" t="s">
        <v>15</v>
      </c>
      <c r="D568" t="s">
        <v>18</v>
      </c>
      <c r="E568">
        <v>480</v>
      </c>
      <c r="F568">
        <v>63</v>
      </c>
      <c r="G568">
        <v>1530</v>
      </c>
      <c r="H568">
        <v>1506</v>
      </c>
      <c r="I568">
        <v>24</v>
      </c>
      <c r="J568">
        <v>13.2</v>
      </c>
      <c r="K568">
        <v>417</v>
      </c>
      <c r="L568">
        <v>0.86875000000000002</v>
      </c>
      <c r="M568">
        <v>0.80719424460431655</v>
      </c>
      <c r="N568">
        <v>0.98431372549019602</v>
      </c>
      <c r="O568">
        <v>0.69025000000000003</v>
      </c>
    </row>
    <row r="569" spans="1:15" x14ac:dyDescent="0.3">
      <c r="A569">
        <v>568</v>
      </c>
      <c r="B569" s="1">
        <v>45705</v>
      </c>
      <c r="C569" t="s">
        <v>15</v>
      </c>
      <c r="D569" t="s">
        <v>19</v>
      </c>
      <c r="E569">
        <v>480</v>
      </c>
      <c r="F569">
        <v>23</v>
      </c>
      <c r="G569">
        <v>1790</v>
      </c>
      <c r="H569">
        <v>1683</v>
      </c>
      <c r="I569">
        <v>107</v>
      </c>
      <c r="J569">
        <v>13.8</v>
      </c>
      <c r="K569">
        <v>457</v>
      </c>
      <c r="L569">
        <v>0.95208333333333328</v>
      </c>
      <c r="M569">
        <v>0.90087527352297592</v>
      </c>
      <c r="N569">
        <v>0.94022346368715082</v>
      </c>
      <c r="O569">
        <v>0.80643749999999992</v>
      </c>
    </row>
    <row r="570" spans="1:15" x14ac:dyDescent="0.3">
      <c r="A570">
        <v>569</v>
      </c>
      <c r="B570" s="1">
        <v>45705</v>
      </c>
      <c r="C570" t="s">
        <v>20</v>
      </c>
      <c r="D570" t="s">
        <v>16</v>
      </c>
      <c r="E570">
        <v>480</v>
      </c>
      <c r="F570">
        <v>5</v>
      </c>
      <c r="G570">
        <v>2263</v>
      </c>
      <c r="H570">
        <v>2194</v>
      </c>
      <c r="I570">
        <v>69</v>
      </c>
      <c r="J570">
        <v>12</v>
      </c>
      <c r="K570">
        <v>475</v>
      </c>
      <c r="L570">
        <v>0.98958333333333337</v>
      </c>
      <c r="M570">
        <v>0.95284210526315793</v>
      </c>
      <c r="N570">
        <v>0.96950950066283692</v>
      </c>
      <c r="O570">
        <v>0.91416666666666668</v>
      </c>
    </row>
    <row r="571" spans="1:15" x14ac:dyDescent="0.3">
      <c r="A571">
        <v>570</v>
      </c>
      <c r="B571" s="1">
        <v>45705</v>
      </c>
      <c r="C571" t="s">
        <v>20</v>
      </c>
      <c r="D571" t="s">
        <v>17</v>
      </c>
      <c r="E571">
        <v>480</v>
      </c>
      <c r="F571">
        <v>47</v>
      </c>
      <c r="G571">
        <v>1854</v>
      </c>
      <c r="H571">
        <v>1747</v>
      </c>
      <c r="I571">
        <v>107</v>
      </c>
      <c r="J571">
        <v>12.6</v>
      </c>
      <c r="K571">
        <v>433</v>
      </c>
      <c r="L571">
        <v>0.90208333333333335</v>
      </c>
      <c r="M571">
        <v>0.89916859122401838</v>
      </c>
      <c r="N571">
        <v>0.94228694714131611</v>
      </c>
      <c r="O571">
        <v>0.76431249999999995</v>
      </c>
    </row>
    <row r="572" spans="1:15" x14ac:dyDescent="0.3">
      <c r="A572">
        <v>571</v>
      </c>
      <c r="B572" s="1">
        <v>45705</v>
      </c>
      <c r="C572" t="s">
        <v>20</v>
      </c>
      <c r="D572" t="s">
        <v>18</v>
      </c>
      <c r="E572">
        <v>480</v>
      </c>
      <c r="F572">
        <v>0</v>
      </c>
      <c r="G572">
        <v>1875</v>
      </c>
      <c r="H572">
        <v>1800</v>
      </c>
      <c r="I572">
        <v>75</v>
      </c>
      <c r="J572">
        <v>13.2</v>
      </c>
      <c r="K572">
        <v>480</v>
      </c>
      <c r="L572">
        <v>1</v>
      </c>
      <c r="M572">
        <v>0.859375</v>
      </c>
      <c r="N572">
        <v>0.96</v>
      </c>
      <c r="O572">
        <v>0.82499999999999996</v>
      </c>
    </row>
    <row r="573" spans="1:15" x14ac:dyDescent="0.3">
      <c r="A573">
        <v>572</v>
      </c>
      <c r="B573" s="1">
        <v>45705</v>
      </c>
      <c r="C573" t="s">
        <v>20</v>
      </c>
      <c r="D573" t="s">
        <v>19</v>
      </c>
      <c r="E573">
        <v>480</v>
      </c>
      <c r="F573">
        <v>81</v>
      </c>
      <c r="G573">
        <v>1384</v>
      </c>
      <c r="H573">
        <v>1367</v>
      </c>
      <c r="I573">
        <v>17</v>
      </c>
      <c r="J573">
        <v>13.8</v>
      </c>
      <c r="K573">
        <v>399</v>
      </c>
      <c r="L573">
        <v>0.83125000000000004</v>
      </c>
      <c r="M573">
        <v>0.79779448621553883</v>
      </c>
      <c r="N573">
        <v>0.98771676300578037</v>
      </c>
      <c r="O573">
        <v>0.65502083333333339</v>
      </c>
    </row>
    <row r="574" spans="1:15" x14ac:dyDescent="0.3">
      <c r="A574">
        <v>573</v>
      </c>
      <c r="B574" s="1">
        <v>45705</v>
      </c>
      <c r="C574" t="s">
        <v>21</v>
      </c>
      <c r="D574" t="s">
        <v>16</v>
      </c>
      <c r="E574">
        <v>480</v>
      </c>
      <c r="F574">
        <v>125</v>
      </c>
      <c r="G574">
        <v>1493</v>
      </c>
      <c r="H574">
        <v>1456</v>
      </c>
      <c r="I574">
        <v>37</v>
      </c>
      <c r="J574">
        <v>12</v>
      </c>
      <c r="K574">
        <v>355</v>
      </c>
      <c r="L574">
        <v>0.73958333333333337</v>
      </c>
      <c r="M574">
        <v>0.84112676056338032</v>
      </c>
      <c r="N574">
        <v>0.97521768251841934</v>
      </c>
      <c r="O574">
        <v>0.6066666666666668</v>
      </c>
    </row>
    <row r="575" spans="1:15" x14ac:dyDescent="0.3">
      <c r="A575">
        <v>574</v>
      </c>
      <c r="B575" s="1">
        <v>45705</v>
      </c>
      <c r="C575" t="s">
        <v>21</v>
      </c>
      <c r="D575" t="s">
        <v>17</v>
      </c>
      <c r="E575">
        <v>480</v>
      </c>
      <c r="F575">
        <v>0</v>
      </c>
      <c r="G575">
        <v>1793</v>
      </c>
      <c r="H575">
        <v>1737</v>
      </c>
      <c r="I575">
        <v>56</v>
      </c>
      <c r="J575">
        <v>12.6</v>
      </c>
      <c r="K575">
        <v>480</v>
      </c>
      <c r="L575">
        <v>1</v>
      </c>
      <c r="M575">
        <v>0.78443750000000001</v>
      </c>
      <c r="N575">
        <v>0.96876742889012823</v>
      </c>
      <c r="O575">
        <v>0.75993749999999993</v>
      </c>
    </row>
    <row r="576" spans="1:15" x14ac:dyDescent="0.3">
      <c r="A576">
        <v>575</v>
      </c>
      <c r="B576" s="1">
        <v>45705</v>
      </c>
      <c r="C576" t="s">
        <v>21</v>
      </c>
      <c r="D576" t="s">
        <v>18</v>
      </c>
      <c r="E576">
        <v>480</v>
      </c>
      <c r="F576">
        <v>84</v>
      </c>
      <c r="G576">
        <v>1592</v>
      </c>
      <c r="H576">
        <v>1511</v>
      </c>
      <c r="I576">
        <v>81</v>
      </c>
      <c r="J576">
        <v>13.2</v>
      </c>
      <c r="K576">
        <v>396</v>
      </c>
      <c r="L576">
        <v>0.82499999999999996</v>
      </c>
      <c r="M576">
        <v>0.88444444444444437</v>
      </c>
      <c r="N576">
        <v>0.94912060301507539</v>
      </c>
      <c r="O576">
        <v>0.69254166666666661</v>
      </c>
    </row>
    <row r="577" spans="1:15" x14ac:dyDescent="0.3">
      <c r="A577">
        <v>576</v>
      </c>
      <c r="B577" s="1">
        <v>45705</v>
      </c>
      <c r="C577" t="s">
        <v>21</v>
      </c>
      <c r="D577" t="s">
        <v>19</v>
      </c>
      <c r="E577">
        <v>480</v>
      </c>
      <c r="F577">
        <v>0</v>
      </c>
      <c r="G577">
        <v>1794</v>
      </c>
      <c r="H577">
        <v>1720</v>
      </c>
      <c r="I577">
        <v>74</v>
      </c>
      <c r="J577">
        <v>13.8</v>
      </c>
      <c r="K577">
        <v>480</v>
      </c>
      <c r="L577">
        <v>1</v>
      </c>
      <c r="M577">
        <v>0.85962499999999997</v>
      </c>
      <c r="N577">
        <v>0.95875139353400218</v>
      </c>
      <c r="O577">
        <v>0.8241666666666666</v>
      </c>
    </row>
    <row r="578" spans="1:15" x14ac:dyDescent="0.3">
      <c r="A578">
        <v>577</v>
      </c>
      <c r="B578" s="1">
        <v>45706</v>
      </c>
      <c r="C578" t="s">
        <v>15</v>
      </c>
      <c r="D578" t="s">
        <v>16</v>
      </c>
      <c r="E578">
        <v>480</v>
      </c>
      <c r="F578">
        <v>95</v>
      </c>
      <c r="G578">
        <v>1522</v>
      </c>
      <c r="H578">
        <v>1452</v>
      </c>
      <c r="I578">
        <v>70</v>
      </c>
      <c r="J578">
        <v>12</v>
      </c>
      <c r="K578">
        <v>385</v>
      </c>
      <c r="L578">
        <v>0.80208333333333337</v>
      </c>
      <c r="M578">
        <v>0.7906493506493506</v>
      </c>
      <c r="N578">
        <v>0.95400788436268069</v>
      </c>
      <c r="O578">
        <v>0.60499999999999998</v>
      </c>
    </row>
    <row r="579" spans="1:15" x14ac:dyDescent="0.3">
      <c r="A579">
        <v>578</v>
      </c>
      <c r="B579" s="1">
        <v>45706</v>
      </c>
      <c r="C579" t="s">
        <v>15</v>
      </c>
      <c r="D579" t="s">
        <v>17</v>
      </c>
      <c r="E579">
        <v>480</v>
      </c>
      <c r="F579">
        <v>0</v>
      </c>
      <c r="G579">
        <v>1927</v>
      </c>
      <c r="H579">
        <v>1858</v>
      </c>
      <c r="I579">
        <v>69</v>
      </c>
      <c r="J579">
        <v>12.6</v>
      </c>
      <c r="K579">
        <v>480</v>
      </c>
      <c r="L579">
        <v>1</v>
      </c>
      <c r="M579">
        <v>0.84306250000000005</v>
      </c>
      <c r="N579">
        <v>0.96419304618578106</v>
      </c>
      <c r="O579">
        <v>0.81287500000000013</v>
      </c>
    </row>
    <row r="580" spans="1:15" x14ac:dyDescent="0.3">
      <c r="A580">
        <v>579</v>
      </c>
      <c r="B580" s="1">
        <v>45706</v>
      </c>
      <c r="C580" t="s">
        <v>15</v>
      </c>
      <c r="D580" t="s">
        <v>18</v>
      </c>
      <c r="E580">
        <v>480</v>
      </c>
      <c r="F580">
        <v>302</v>
      </c>
      <c r="G580">
        <v>658</v>
      </c>
      <c r="H580">
        <v>648</v>
      </c>
      <c r="I580">
        <v>10</v>
      </c>
      <c r="J580">
        <v>13.2</v>
      </c>
      <c r="K580">
        <v>178</v>
      </c>
      <c r="L580">
        <v>0.37083333333333335</v>
      </c>
      <c r="M580">
        <v>0.81325842696629214</v>
      </c>
      <c r="N580">
        <v>0.98480243161094227</v>
      </c>
      <c r="O580">
        <v>0.29700000000000004</v>
      </c>
    </row>
    <row r="581" spans="1:15" x14ac:dyDescent="0.3">
      <c r="A581">
        <v>580</v>
      </c>
      <c r="B581" s="1">
        <v>45706</v>
      </c>
      <c r="C581" t="s">
        <v>15</v>
      </c>
      <c r="D581" t="s">
        <v>19</v>
      </c>
      <c r="E581">
        <v>480</v>
      </c>
      <c r="F581">
        <v>53</v>
      </c>
      <c r="G581">
        <v>1484</v>
      </c>
      <c r="H581">
        <v>1437</v>
      </c>
      <c r="I581">
        <v>47</v>
      </c>
      <c r="J581">
        <v>13.8</v>
      </c>
      <c r="K581">
        <v>427</v>
      </c>
      <c r="L581">
        <v>0.88958333333333328</v>
      </c>
      <c r="M581">
        <v>0.79934426229508204</v>
      </c>
      <c r="N581">
        <v>0.96832884097035044</v>
      </c>
      <c r="O581">
        <v>0.68856250000000008</v>
      </c>
    </row>
    <row r="582" spans="1:15" x14ac:dyDescent="0.3">
      <c r="A582">
        <v>581</v>
      </c>
      <c r="B582" s="1">
        <v>45706</v>
      </c>
      <c r="C582" t="s">
        <v>20</v>
      </c>
      <c r="D582" t="s">
        <v>16</v>
      </c>
      <c r="E582">
        <v>480</v>
      </c>
      <c r="F582">
        <v>0</v>
      </c>
      <c r="G582">
        <v>2252</v>
      </c>
      <c r="H582">
        <v>2137</v>
      </c>
      <c r="I582">
        <v>115</v>
      </c>
      <c r="J582">
        <v>12</v>
      </c>
      <c r="K582">
        <v>480</v>
      </c>
      <c r="L582">
        <v>1</v>
      </c>
      <c r="M582">
        <v>0.93833333333333335</v>
      </c>
      <c r="N582">
        <v>0.94893428063943164</v>
      </c>
      <c r="O582">
        <v>0.89041666666666675</v>
      </c>
    </row>
    <row r="583" spans="1:15" x14ac:dyDescent="0.3">
      <c r="A583">
        <v>582</v>
      </c>
      <c r="B583" s="1">
        <v>45706</v>
      </c>
      <c r="C583" t="s">
        <v>20</v>
      </c>
      <c r="D583" t="s">
        <v>17</v>
      </c>
      <c r="E583">
        <v>480</v>
      </c>
      <c r="F583">
        <v>12</v>
      </c>
      <c r="G583">
        <v>2094</v>
      </c>
      <c r="H583">
        <v>2007</v>
      </c>
      <c r="I583">
        <v>87</v>
      </c>
      <c r="J583">
        <v>12.6</v>
      </c>
      <c r="K583">
        <v>468</v>
      </c>
      <c r="L583">
        <v>0.97499999999999998</v>
      </c>
      <c r="M583">
        <v>0.93961538461538452</v>
      </c>
      <c r="N583">
        <v>0.95845272206303722</v>
      </c>
      <c r="O583">
        <v>0.87806249999999986</v>
      </c>
    </row>
    <row r="584" spans="1:15" x14ac:dyDescent="0.3">
      <c r="A584">
        <v>583</v>
      </c>
      <c r="B584" s="1">
        <v>45706</v>
      </c>
      <c r="C584" t="s">
        <v>20</v>
      </c>
      <c r="D584" t="s">
        <v>18</v>
      </c>
      <c r="E584">
        <v>480</v>
      </c>
      <c r="F584">
        <v>53</v>
      </c>
      <c r="G584">
        <v>1734</v>
      </c>
      <c r="H584">
        <v>1668</v>
      </c>
      <c r="I584">
        <v>66</v>
      </c>
      <c r="J584">
        <v>13.2</v>
      </c>
      <c r="K584">
        <v>427</v>
      </c>
      <c r="L584">
        <v>0.88958333333333328</v>
      </c>
      <c r="M584">
        <v>0.89339578454332547</v>
      </c>
      <c r="N584">
        <v>0.96193771626297575</v>
      </c>
      <c r="O584">
        <v>0.76449999999999985</v>
      </c>
    </row>
    <row r="585" spans="1:15" x14ac:dyDescent="0.3">
      <c r="A585">
        <v>584</v>
      </c>
      <c r="B585" s="1">
        <v>45706</v>
      </c>
      <c r="C585" t="s">
        <v>20</v>
      </c>
      <c r="D585" t="s">
        <v>19</v>
      </c>
      <c r="E585">
        <v>480</v>
      </c>
      <c r="F585">
        <v>0</v>
      </c>
      <c r="G585">
        <v>1593</v>
      </c>
      <c r="H585">
        <v>1529</v>
      </c>
      <c r="I585">
        <v>64</v>
      </c>
      <c r="J585">
        <v>13.8</v>
      </c>
      <c r="K585">
        <v>480</v>
      </c>
      <c r="L585">
        <v>1</v>
      </c>
      <c r="M585">
        <v>0.76331250000000006</v>
      </c>
      <c r="N585">
        <v>0.95982423101067171</v>
      </c>
      <c r="O585">
        <v>0.73264583333333344</v>
      </c>
    </row>
    <row r="586" spans="1:15" x14ac:dyDescent="0.3">
      <c r="A586">
        <v>585</v>
      </c>
      <c r="B586" s="1">
        <v>45706</v>
      </c>
      <c r="C586" t="s">
        <v>21</v>
      </c>
      <c r="D586" t="s">
        <v>16</v>
      </c>
      <c r="E586">
        <v>480</v>
      </c>
      <c r="F586">
        <v>10</v>
      </c>
      <c r="G586">
        <v>1862</v>
      </c>
      <c r="H586">
        <v>1825</v>
      </c>
      <c r="I586">
        <v>37</v>
      </c>
      <c r="J586">
        <v>12</v>
      </c>
      <c r="K586">
        <v>470</v>
      </c>
      <c r="L586">
        <v>0.97916666666666663</v>
      </c>
      <c r="M586">
        <v>0.79234042553191486</v>
      </c>
      <c r="N586">
        <v>0.98012889366272826</v>
      </c>
      <c r="O586">
        <v>0.76041666666666663</v>
      </c>
    </row>
    <row r="587" spans="1:15" x14ac:dyDescent="0.3">
      <c r="A587">
        <v>586</v>
      </c>
      <c r="B587" s="1">
        <v>45706</v>
      </c>
      <c r="C587" t="s">
        <v>21</v>
      </c>
      <c r="D587" t="s">
        <v>17</v>
      </c>
      <c r="E587">
        <v>480</v>
      </c>
      <c r="F587">
        <v>14</v>
      </c>
      <c r="G587">
        <v>1910</v>
      </c>
      <c r="H587">
        <v>1855</v>
      </c>
      <c r="I587">
        <v>55</v>
      </c>
      <c r="J587">
        <v>12.6</v>
      </c>
      <c r="K587">
        <v>466</v>
      </c>
      <c r="L587">
        <v>0.97083333333333333</v>
      </c>
      <c r="M587">
        <v>0.86072961373390555</v>
      </c>
      <c r="N587">
        <v>0.97120418848167545</v>
      </c>
      <c r="O587">
        <v>0.81156249999999996</v>
      </c>
    </row>
    <row r="588" spans="1:15" x14ac:dyDescent="0.3">
      <c r="A588">
        <v>587</v>
      </c>
      <c r="B588" s="1">
        <v>45706</v>
      </c>
      <c r="C588" t="s">
        <v>21</v>
      </c>
      <c r="D588" t="s">
        <v>18</v>
      </c>
      <c r="E588">
        <v>480</v>
      </c>
      <c r="F588">
        <v>5</v>
      </c>
      <c r="G588">
        <v>1654</v>
      </c>
      <c r="H588">
        <v>1591</v>
      </c>
      <c r="I588">
        <v>63</v>
      </c>
      <c r="J588">
        <v>13.2</v>
      </c>
      <c r="K588">
        <v>475</v>
      </c>
      <c r="L588">
        <v>0.98958333333333337</v>
      </c>
      <c r="M588">
        <v>0.76606315789473678</v>
      </c>
      <c r="N588">
        <v>0.96191051995163246</v>
      </c>
      <c r="O588">
        <v>0.72920833333333335</v>
      </c>
    </row>
    <row r="589" spans="1:15" x14ac:dyDescent="0.3">
      <c r="A589">
        <v>588</v>
      </c>
      <c r="B589" s="1">
        <v>45706</v>
      </c>
      <c r="C589" t="s">
        <v>21</v>
      </c>
      <c r="D589" t="s">
        <v>19</v>
      </c>
      <c r="E589">
        <v>480</v>
      </c>
      <c r="F589">
        <v>155</v>
      </c>
      <c r="G589">
        <v>1156</v>
      </c>
      <c r="H589">
        <v>1140</v>
      </c>
      <c r="I589">
        <v>16</v>
      </c>
      <c r="J589">
        <v>13.8</v>
      </c>
      <c r="K589">
        <v>325</v>
      </c>
      <c r="L589">
        <v>0.67708333333333337</v>
      </c>
      <c r="M589">
        <v>0.81809230769230779</v>
      </c>
      <c r="N589">
        <v>0.98615916955017302</v>
      </c>
      <c r="O589">
        <v>0.54625000000000001</v>
      </c>
    </row>
    <row r="590" spans="1:15" x14ac:dyDescent="0.3">
      <c r="A590">
        <v>589</v>
      </c>
      <c r="B590" s="1">
        <v>45707</v>
      </c>
      <c r="C590" t="s">
        <v>15</v>
      </c>
      <c r="D590" t="s">
        <v>16</v>
      </c>
      <c r="E590">
        <v>480</v>
      </c>
      <c r="F590">
        <v>0</v>
      </c>
      <c r="G590">
        <v>1870</v>
      </c>
      <c r="H590">
        <v>1840</v>
      </c>
      <c r="I590">
        <v>30</v>
      </c>
      <c r="J590">
        <v>12</v>
      </c>
      <c r="K590">
        <v>480</v>
      </c>
      <c r="L590">
        <v>1</v>
      </c>
      <c r="M590">
        <v>0.77916666666666667</v>
      </c>
      <c r="N590">
        <v>0.98395721925133695</v>
      </c>
      <c r="O590">
        <v>0.76666666666666672</v>
      </c>
    </row>
    <row r="591" spans="1:15" x14ac:dyDescent="0.3">
      <c r="A591">
        <v>590</v>
      </c>
      <c r="B591" s="1">
        <v>45707</v>
      </c>
      <c r="C591" t="s">
        <v>15</v>
      </c>
      <c r="D591" t="s">
        <v>17</v>
      </c>
      <c r="E591">
        <v>480</v>
      </c>
      <c r="F591">
        <v>91</v>
      </c>
      <c r="G591">
        <v>1680</v>
      </c>
      <c r="H591">
        <v>1584</v>
      </c>
      <c r="I591">
        <v>96</v>
      </c>
      <c r="J591">
        <v>12.6</v>
      </c>
      <c r="K591">
        <v>389</v>
      </c>
      <c r="L591">
        <v>0.81041666666666667</v>
      </c>
      <c r="M591">
        <v>0.90694087403598966</v>
      </c>
      <c r="N591">
        <v>0.94285714285714284</v>
      </c>
      <c r="O591">
        <v>0.69299999999999995</v>
      </c>
    </row>
    <row r="592" spans="1:15" x14ac:dyDescent="0.3">
      <c r="A592">
        <v>591</v>
      </c>
      <c r="B592" s="1">
        <v>45707</v>
      </c>
      <c r="C592" t="s">
        <v>15</v>
      </c>
      <c r="D592" t="s">
        <v>18</v>
      </c>
      <c r="E592">
        <v>480</v>
      </c>
      <c r="F592">
        <v>0</v>
      </c>
      <c r="G592">
        <v>1828</v>
      </c>
      <c r="H592">
        <v>1760</v>
      </c>
      <c r="I592">
        <v>68</v>
      </c>
      <c r="J592">
        <v>13.2</v>
      </c>
      <c r="K592">
        <v>480</v>
      </c>
      <c r="L592">
        <v>1</v>
      </c>
      <c r="M592">
        <v>0.83783333333333332</v>
      </c>
      <c r="N592">
        <v>0.96280087527352298</v>
      </c>
      <c r="O592">
        <v>0.80666666666666664</v>
      </c>
    </row>
    <row r="593" spans="1:15" x14ac:dyDescent="0.3">
      <c r="A593">
        <v>592</v>
      </c>
      <c r="B593" s="1">
        <v>45707</v>
      </c>
      <c r="C593" t="s">
        <v>15</v>
      </c>
      <c r="D593" t="s">
        <v>19</v>
      </c>
      <c r="E593">
        <v>480</v>
      </c>
      <c r="F593">
        <v>0</v>
      </c>
      <c r="G593">
        <v>1567</v>
      </c>
      <c r="H593">
        <v>1499</v>
      </c>
      <c r="I593">
        <v>68</v>
      </c>
      <c r="J593">
        <v>13.8</v>
      </c>
      <c r="K593">
        <v>480</v>
      </c>
      <c r="L593">
        <v>1</v>
      </c>
      <c r="M593">
        <v>0.75085416666666671</v>
      </c>
      <c r="N593">
        <v>0.95660497766432673</v>
      </c>
      <c r="O593">
        <v>0.71827083333333341</v>
      </c>
    </row>
    <row r="594" spans="1:15" x14ac:dyDescent="0.3">
      <c r="A594">
        <v>593</v>
      </c>
      <c r="B594" s="1">
        <v>45707</v>
      </c>
      <c r="C594" t="s">
        <v>20</v>
      </c>
      <c r="D594" t="s">
        <v>16</v>
      </c>
      <c r="E594">
        <v>480</v>
      </c>
      <c r="F594">
        <v>13</v>
      </c>
      <c r="G594">
        <v>1804</v>
      </c>
      <c r="H594">
        <v>1700</v>
      </c>
      <c r="I594">
        <v>104</v>
      </c>
      <c r="J594">
        <v>12</v>
      </c>
      <c r="K594">
        <v>467</v>
      </c>
      <c r="L594">
        <v>0.97291666666666665</v>
      </c>
      <c r="M594">
        <v>0.77259100642398282</v>
      </c>
      <c r="N594">
        <v>0.94235033259423506</v>
      </c>
      <c r="O594">
        <v>0.70833333333333326</v>
      </c>
    </row>
    <row r="595" spans="1:15" x14ac:dyDescent="0.3">
      <c r="A595">
        <v>594</v>
      </c>
      <c r="B595" s="1">
        <v>45707</v>
      </c>
      <c r="C595" t="s">
        <v>20</v>
      </c>
      <c r="D595" t="s">
        <v>17</v>
      </c>
      <c r="E595">
        <v>480</v>
      </c>
      <c r="F595">
        <v>13</v>
      </c>
      <c r="G595">
        <v>2075</v>
      </c>
      <c r="H595">
        <v>1984</v>
      </c>
      <c r="I595">
        <v>91</v>
      </c>
      <c r="J595">
        <v>12.6</v>
      </c>
      <c r="K595">
        <v>467</v>
      </c>
      <c r="L595">
        <v>0.97291666666666665</v>
      </c>
      <c r="M595">
        <v>0.93308351177730198</v>
      </c>
      <c r="N595">
        <v>0.95614457831325306</v>
      </c>
      <c r="O595">
        <v>0.8680000000000001</v>
      </c>
    </row>
    <row r="596" spans="1:15" x14ac:dyDescent="0.3">
      <c r="A596">
        <v>595</v>
      </c>
      <c r="B596" s="1">
        <v>45707</v>
      </c>
      <c r="C596" t="s">
        <v>20</v>
      </c>
      <c r="D596" t="s">
        <v>18</v>
      </c>
      <c r="E596">
        <v>480</v>
      </c>
      <c r="F596">
        <v>185</v>
      </c>
      <c r="G596">
        <v>1261</v>
      </c>
      <c r="H596">
        <v>1235</v>
      </c>
      <c r="I596">
        <v>26</v>
      </c>
      <c r="J596">
        <v>13.2</v>
      </c>
      <c r="K596">
        <v>295</v>
      </c>
      <c r="L596">
        <v>0.61458333333333337</v>
      </c>
      <c r="M596">
        <v>0.94040677966101704</v>
      </c>
      <c r="N596">
        <v>0.97938144329896903</v>
      </c>
      <c r="O596">
        <v>0.56604166666666678</v>
      </c>
    </row>
    <row r="597" spans="1:15" x14ac:dyDescent="0.3">
      <c r="A597">
        <v>596</v>
      </c>
      <c r="B597" s="1">
        <v>45707</v>
      </c>
      <c r="C597" t="s">
        <v>20</v>
      </c>
      <c r="D597" t="s">
        <v>19</v>
      </c>
      <c r="E597">
        <v>480</v>
      </c>
      <c r="F597">
        <v>11</v>
      </c>
      <c r="G597">
        <v>1904</v>
      </c>
      <c r="H597">
        <v>1854</v>
      </c>
      <c r="I597">
        <v>50</v>
      </c>
      <c r="J597">
        <v>13.8</v>
      </c>
      <c r="K597">
        <v>469</v>
      </c>
      <c r="L597">
        <v>0.9770833333333333</v>
      </c>
      <c r="M597">
        <v>0.93373134328358209</v>
      </c>
      <c r="N597">
        <v>0.97373949579831931</v>
      </c>
      <c r="O597">
        <v>0.88837500000000003</v>
      </c>
    </row>
    <row r="598" spans="1:15" x14ac:dyDescent="0.3">
      <c r="A598">
        <v>597</v>
      </c>
      <c r="B598" s="1">
        <v>45707</v>
      </c>
      <c r="C598" t="s">
        <v>21</v>
      </c>
      <c r="D598" t="s">
        <v>16</v>
      </c>
      <c r="E598">
        <v>480</v>
      </c>
      <c r="F598">
        <v>29</v>
      </c>
      <c r="G598">
        <v>2050</v>
      </c>
      <c r="H598">
        <v>2016</v>
      </c>
      <c r="I598">
        <v>34</v>
      </c>
      <c r="J598">
        <v>12</v>
      </c>
      <c r="K598">
        <v>451</v>
      </c>
      <c r="L598">
        <v>0.93958333333333333</v>
      </c>
      <c r="M598">
        <v>0.90909090909090906</v>
      </c>
      <c r="N598">
        <v>0.98341463414634145</v>
      </c>
      <c r="O598">
        <v>0.84</v>
      </c>
    </row>
    <row r="599" spans="1:15" x14ac:dyDescent="0.3">
      <c r="A599">
        <v>598</v>
      </c>
      <c r="B599" s="1">
        <v>45707</v>
      </c>
      <c r="C599" t="s">
        <v>21</v>
      </c>
      <c r="D599" t="s">
        <v>17</v>
      </c>
      <c r="E599">
        <v>480</v>
      </c>
      <c r="F599">
        <v>163</v>
      </c>
      <c r="G599">
        <v>1269</v>
      </c>
      <c r="H599">
        <v>1248</v>
      </c>
      <c r="I599">
        <v>21</v>
      </c>
      <c r="J599">
        <v>12.6</v>
      </c>
      <c r="K599">
        <v>317</v>
      </c>
      <c r="L599">
        <v>0.66041666666666665</v>
      </c>
      <c r="M599">
        <v>0.84066246056782334</v>
      </c>
      <c r="N599">
        <v>0.98345153664302598</v>
      </c>
      <c r="O599">
        <v>0.54599999999999993</v>
      </c>
    </row>
    <row r="600" spans="1:15" x14ac:dyDescent="0.3">
      <c r="A600">
        <v>599</v>
      </c>
      <c r="B600" s="1">
        <v>45707</v>
      </c>
      <c r="C600" t="s">
        <v>21</v>
      </c>
      <c r="D600" t="s">
        <v>18</v>
      </c>
      <c r="E600">
        <v>480</v>
      </c>
      <c r="F600">
        <v>0</v>
      </c>
      <c r="G600">
        <v>2112</v>
      </c>
      <c r="H600">
        <v>1998</v>
      </c>
      <c r="I600">
        <v>114</v>
      </c>
      <c r="J600">
        <v>13.2</v>
      </c>
      <c r="K600">
        <v>480</v>
      </c>
      <c r="L600">
        <v>1</v>
      </c>
      <c r="M600">
        <v>0.96799999999999997</v>
      </c>
      <c r="N600">
        <v>0.94602272727272729</v>
      </c>
      <c r="O600">
        <v>0.91574999999999995</v>
      </c>
    </row>
    <row r="601" spans="1:15" x14ac:dyDescent="0.3">
      <c r="A601">
        <v>600</v>
      </c>
      <c r="B601" s="1">
        <v>45707</v>
      </c>
      <c r="C601" t="s">
        <v>21</v>
      </c>
      <c r="D601" t="s">
        <v>19</v>
      </c>
      <c r="E601">
        <v>480</v>
      </c>
      <c r="F601">
        <v>32</v>
      </c>
      <c r="G601">
        <v>1621</v>
      </c>
      <c r="H601">
        <v>1557</v>
      </c>
      <c r="I601">
        <v>64</v>
      </c>
      <c r="J601">
        <v>13.8</v>
      </c>
      <c r="K601">
        <v>448</v>
      </c>
      <c r="L601">
        <v>0.93333333333333335</v>
      </c>
      <c r="M601">
        <v>0.83220982142857158</v>
      </c>
      <c r="N601">
        <v>0.96051819864281307</v>
      </c>
      <c r="O601">
        <v>0.74606250000000007</v>
      </c>
    </row>
    <row r="602" spans="1:15" x14ac:dyDescent="0.3">
      <c r="A602">
        <v>601</v>
      </c>
      <c r="B602" s="1">
        <v>45708</v>
      </c>
      <c r="C602" t="s">
        <v>15</v>
      </c>
      <c r="D602" t="s">
        <v>16</v>
      </c>
      <c r="E602">
        <v>480</v>
      </c>
      <c r="F602">
        <v>16</v>
      </c>
      <c r="G602">
        <v>2044</v>
      </c>
      <c r="H602">
        <v>2003</v>
      </c>
      <c r="I602">
        <v>41</v>
      </c>
      <c r="J602">
        <v>12</v>
      </c>
      <c r="K602">
        <v>464</v>
      </c>
      <c r="L602">
        <v>0.96666666666666667</v>
      </c>
      <c r="M602">
        <v>0.88103448275862073</v>
      </c>
      <c r="N602">
        <v>0.97994129158512722</v>
      </c>
      <c r="O602">
        <v>0.83458333333333334</v>
      </c>
    </row>
    <row r="603" spans="1:15" x14ac:dyDescent="0.3">
      <c r="A603">
        <v>602</v>
      </c>
      <c r="B603" s="1">
        <v>45708</v>
      </c>
      <c r="C603" t="s">
        <v>15</v>
      </c>
      <c r="D603" t="s">
        <v>17</v>
      </c>
      <c r="E603">
        <v>480</v>
      </c>
      <c r="F603">
        <v>30</v>
      </c>
      <c r="G603">
        <v>1885</v>
      </c>
      <c r="H603">
        <v>1842</v>
      </c>
      <c r="I603">
        <v>43</v>
      </c>
      <c r="J603">
        <v>12.6</v>
      </c>
      <c r="K603">
        <v>450</v>
      </c>
      <c r="L603">
        <v>0.9375</v>
      </c>
      <c r="M603">
        <v>0.87966666666666671</v>
      </c>
      <c r="N603">
        <v>0.97718832891246687</v>
      </c>
      <c r="O603">
        <v>0.80587500000000001</v>
      </c>
    </row>
    <row r="604" spans="1:15" x14ac:dyDescent="0.3">
      <c r="A604">
        <v>603</v>
      </c>
      <c r="B604" s="1">
        <v>45708</v>
      </c>
      <c r="C604" t="s">
        <v>15</v>
      </c>
      <c r="D604" t="s">
        <v>18</v>
      </c>
      <c r="E604">
        <v>480</v>
      </c>
      <c r="F604">
        <v>48</v>
      </c>
      <c r="G604">
        <v>1696</v>
      </c>
      <c r="H604">
        <v>1655</v>
      </c>
      <c r="I604">
        <v>41</v>
      </c>
      <c r="J604">
        <v>13.2</v>
      </c>
      <c r="K604">
        <v>432</v>
      </c>
      <c r="L604">
        <v>0.9</v>
      </c>
      <c r="M604">
        <v>0.86370370370370364</v>
      </c>
      <c r="N604">
        <v>0.97582547169811318</v>
      </c>
      <c r="O604">
        <v>0.75854166666666667</v>
      </c>
    </row>
    <row r="605" spans="1:15" x14ac:dyDescent="0.3">
      <c r="A605">
        <v>604</v>
      </c>
      <c r="B605" s="1">
        <v>45708</v>
      </c>
      <c r="C605" t="s">
        <v>15</v>
      </c>
      <c r="D605" t="s">
        <v>19</v>
      </c>
      <c r="E605">
        <v>480</v>
      </c>
      <c r="F605">
        <v>56</v>
      </c>
      <c r="G605">
        <v>1456</v>
      </c>
      <c r="H605">
        <v>1408</v>
      </c>
      <c r="I605">
        <v>48</v>
      </c>
      <c r="J605">
        <v>13.8</v>
      </c>
      <c r="K605">
        <v>424</v>
      </c>
      <c r="L605">
        <v>0.8833333333333333</v>
      </c>
      <c r="M605">
        <v>0.78981132075471694</v>
      </c>
      <c r="N605">
        <v>0.96703296703296704</v>
      </c>
      <c r="O605">
        <v>0.67466666666666664</v>
      </c>
    </row>
    <row r="606" spans="1:15" x14ac:dyDescent="0.3">
      <c r="A606">
        <v>605</v>
      </c>
      <c r="B606" s="1">
        <v>45708</v>
      </c>
      <c r="C606" t="s">
        <v>20</v>
      </c>
      <c r="D606" t="s">
        <v>16</v>
      </c>
      <c r="E606">
        <v>480</v>
      </c>
      <c r="F606">
        <v>0</v>
      </c>
      <c r="G606">
        <v>2145</v>
      </c>
      <c r="H606">
        <v>2065</v>
      </c>
      <c r="I606">
        <v>80</v>
      </c>
      <c r="J606">
        <v>12</v>
      </c>
      <c r="K606">
        <v>480</v>
      </c>
      <c r="L606">
        <v>1</v>
      </c>
      <c r="M606">
        <v>0.89375000000000004</v>
      </c>
      <c r="N606">
        <v>0.96270396270396275</v>
      </c>
      <c r="O606">
        <v>0.86041666666666672</v>
      </c>
    </row>
    <row r="607" spans="1:15" x14ac:dyDescent="0.3">
      <c r="A607">
        <v>606</v>
      </c>
      <c r="B607" s="1">
        <v>45708</v>
      </c>
      <c r="C607" t="s">
        <v>20</v>
      </c>
      <c r="D607" t="s">
        <v>17</v>
      </c>
      <c r="E607">
        <v>480</v>
      </c>
      <c r="F607">
        <v>5</v>
      </c>
      <c r="G607">
        <v>1708</v>
      </c>
      <c r="H607">
        <v>1618</v>
      </c>
      <c r="I607">
        <v>90</v>
      </c>
      <c r="J607">
        <v>12.6</v>
      </c>
      <c r="K607">
        <v>475</v>
      </c>
      <c r="L607">
        <v>0.98958333333333337</v>
      </c>
      <c r="M607">
        <v>0.75511578947368418</v>
      </c>
      <c r="N607">
        <v>0.9473067915690867</v>
      </c>
      <c r="O607">
        <v>0.70787500000000003</v>
      </c>
    </row>
    <row r="608" spans="1:15" x14ac:dyDescent="0.3">
      <c r="A608">
        <v>607</v>
      </c>
      <c r="B608" s="1">
        <v>45708</v>
      </c>
      <c r="C608" t="s">
        <v>20</v>
      </c>
      <c r="D608" t="s">
        <v>18</v>
      </c>
      <c r="E608">
        <v>480</v>
      </c>
      <c r="F608">
        <v>103</v>
      </c>
      <c r="G608">
        <v>1504</v>
      </c>
      <c r="H608">
        <v>1445</v>
      </c>
      <c r="I608">
        <v>59</v>
      </c>
      <c r="J608">
        <v>13.2</v>
      </c>
      <c r="K608">
        <v>377</v>
      </c>
      <c r="L608">
        <v>0.78541666666666665</v>
      </c>
      <c r="M608">
        <v>0.87766578249336868</v>
      </c>
      <c r="N608">
        <v>0.96077127659574468</v>
      </c>
      <c r="O608">
        <v>0.66229166666666672</v>
      </c>
    </row>
    <row r="609" spans="1:15" x14ac:dyDescent="0.3">
      <c r="A609">
        <v>608</v>
      </c>
      <c r="B609" s="1">
        <v>45708</v>
      </c>
      <c r="C609" t="s">
        <v>20</v>
      </c>
      <c r="D609" t="s">
        <v>19</v>
      </c>
      <c r="E609">
        <v>480</v>
      </c>
      <c r="F609">
        <v>13</v>
      </c>
      <c r="G609">
        <v>1655</v>
      </c>
      <c r="H609">
        <v>1606</v>
      </c>
      <c r="I609">
        <v>49</v>
      </c>
      <c r="J609">
        <v>13.8</v>
      </c>
      <c r="K609">
        <v>467</v>
      </c>
      <c r="L609">
        <v>0.97291666666666665</v>
      </c>
      <c r="M609">
        <v>0.81509635974304073</v>
      </c>
      <c r="N609">
        <v>0.97039274924471297</v>
      </c>
      <c r="O609">
        <v>0.76954166666666668</v>
      </c>
    </row>
    <row r="610" spans="1:15" x14ac:dyDescent="0.3">
      <c r="A610">
        <v>609</v>
      </c>
      <c r="B610" s="1">
        <v>45708</v>
      </c>
      <c r="C610" t="s">
        <v>21</v>
      </c>
      <c r="D610" t="s">
        <v>16</v>
      </c>
      <c r="E610">
        <v>480</v>
      </c>
      <c r="F610">
        <v>33</v>
      </c>
      <c r="G610">
        <v>2086</v>
      </c>
      <c r="H610">
        <v>1968</v>
      </c>
      <c r="I610">
        <v>118</v>
      </c>
      <c r="J610">
        <v>12</v>
      </c>
      <c r="K610">
        <v>447</v>
      </c>
      <c r="L610">
        <v>0.93125000000000002</v>
      </c>
      <c r="M610">
        <v>0.93333333333333335</v>
      </c>
      <c r="N610">
        <v>0.94343240651965488</v>
      </c>
      <c r="O610">
        <v>0.82000000000000006</v>
      </c>
    </row>
    <row r="611" spans="1:15" x14ac:dyDescent="0.3">
      <c r="A611">
        <v>610</v>
      </c>
      <c r="B611" s="1">
        <v>45708</v>
      </c>
      <c r="C611" t="s">
        <v>21</v>
      </c>
      <c r="D611" t="s">
        <v>17</v>
      </c>
      <c r="E611">
        <v>480</v>
      </c>
      <c r="F611">
        <v>0</v>
      </c>
      <c r="G611">
        <v>1795</v>
      </c>
      <c r="H611">
        <v>1698</v>
      </c>
      <c r="I611">
        <v>97</v>
      </c>
      <c r="J611">
        <v>12.6</v>
      </c>
      <c r="K611">
        <v>480</v>
      </c>
      <c r="L611">
        <v>1</v>
      </c>
      <c r="M611">
        <v>0.78531249999999997</v>
      </c>
      <c r="N611">
        <v>0.94596100278551531</v>
      </c>
      <c r="O611">
        <v>0.74287499999999995</v>
      </c>
    </row>
    <row r="612" spans="1:15" x14ac:dyDescent="0.3">
      <c r="A612">
        <v>611</v>
      </c>
      <c r="B612" s="1">
        <v>45708</v>
      </c>
      <c r="C612" t="s">
        <v>21</v>
      </c>
      <c r="D612" t="s">
        <v>18</v>
      </c>
      <c r="E612">
        <v>480</v>
      </c>
      <c r="F612">
        <v>156</v>
      </c>
      <c r="G612">
        <v>1201</v>
      </c>
      <c r="H612">
        <v>1137</v>
      </c>
      <c r="I612">
        <v>64</v>
      </c>
      <c r="J612">
        <v>13.2</v>
      </c>
      <c r="K612">
        <v>324</v>
      </c>
      <c r="L612">
        <v>0.67500000000000004</v>
      </c>
      <c r="M612">
        <v>0.81549382716049379</v>
      </c>
      <c r="N612">
        <v>0.94671107410491262</v>
      </c>
      <c r="O612">
        <v>0.52112500000000006</v>
      </c>
    </row>
    <row r="613" spans="1:15" x14ac:dyDescent="0.3">
      <c r="A613">
        <v>612</v>
      </c>
      <c r="B613" s="1">
        <v>45708</v>
      </c>
      <c r="C613" t="s">
        <v>21</v>
      </c>
      <c r="D613" t="s">
        <v>19</v>
      </c>
      <c r="E613">
        <v>480</v>
      </c>
      <c r="F613">
        <v>0</v>
      </c>
      <c r="G613">
        <v>1676</v>
      </c>
      <c r="H613">
        <v>1585</v>
      </c>
      <c r="I613">
        <v>91</v>
      </c>
      <c r="J613">
        <v>13.8</v>
      </c>
      <c r="K613">
        <v>480</v>
      </c>
      <c r="L613">
        <v>1</v>
      </c>
      <c r="M613">
        <v>0.80308333333333348</v>
      </c>
      <c r="N613">
        <v>0.94570405727923623</v>
      </c>
      <c r="O613">
        <v>0.75947916666666682</v>
      </c>
    </row>
    <row r="614" spans="1:15" x14ac:dyDescent="0.3">
      <c r="A614">
        <v>613</v>
      </c>
      <c r="B614" s="1">
        <v>45709</v>
      </c>
      <c r="C614" t="s">
        <v>15</v>
      </c>
      <c r="D614" t="s">
        <v>16</v>
      </c>
      <c r="E614">
        <v>480</v>
      </c>
      <c r="F614">
        <v>88</v>
      </c>
      <c r="G614">
        <v>1695</v>
      </c>
      <c r="H614">
        <v>1621</v>
      </c>
      <c r="I614">
        <v>74</v>
      </c>
      <c r="J614">
        <v>12</v>
      </c>
      <c r="K614">
        <v>392</v>
      </c>
      <c r="L614">
        <v>0.81666666666666665</v>
      </c>
      <c r="M614">
        <v>0.86479591836734693</v>
      </c>
      <c r="N614">
        <v>0.95634218289085549</v>
      </c>
      <c r="O614">
        <v>0.67541666666666667</v>
      </c>
    </row>
    <row r="615" spans="1:15" x14ac:dyDescent="0.3">
      <c r="A615">
        <v>614</v>
      </c>
      <c r="B615" s="1">
        <v>45709</v>
      </c>
      <c r="C615" t="s">
        <v>15</v>
      </c>
      <c r="D615" t="s">
        <v>17</v>
      </c>
      <c r="E615">
        <v>480</v>
      </c>
      <c r="F615">
        <v>5</v>
      </c>
      <c r="G615">
        <v>1910</v>
      </c>
      <c r="H615">
        <v>1871</v>
      </c>
      <c r="I615">
        <v>39</v>
      </c>
      <c r="J615">
        <v>12.6</v>
      </c>
      <c r="K615">
        <v>475</v>
      </c>
      <c r="L615">
        <v>0.98958333333333337</v>
      </c>
      <c r="M615">
        <v>0.84442105263157896</v>
      </c>
      <c r="N615">
        <v>0.97958115183246075</v>
      </c>
      <c r="O615">
        <v>0.81856250000000008</v>
      </c>
    </row>
    <row r="616" spans="1:15" x14ac:dyDescent="0.3">
      <c r="A616">
        <v>615</v>
      </c>
      <c r="B616" s="1">
        <v>45709</v>
      </c>
      <c r="C616" t="s">
        <v>15</v>
      </c>
      <c r="D616" t="s">
        <v>18</v>
      </c>
      <c r="E616">
        <v>480</v>
      </c>
      <c r="F616">
        <v>127</v>
      </c>
      <c r="G616">
        <v>1451</v>
      </c>
      <c r="H616">
        <v>1384</v>
      </c>
      <c r="I616">
        <v>67</v>
      </c>
      <c r="J616">
        <v>13.2</v>
      </c>
      <c r="K616">
        <v>353</v>
      </c>
      <c r="L616">
        <v>0.73541666666666672</v>
      </c>
      <c r="M616">
        <v>0.90430594900849859</v>
      </c>
      <c r="N616">
        <v>0.95382494831150932</v>
      </c>
      <c r="O616">
        <v>0.63433333333333342</v>
      </c>
    </row>
    <row r="617" spans="1:15" x14ac:dyDescent="0.3">
      <c r="A617">
        <v>616</v>
      </c>
      <c r="B617" s="1">
        <v>45709</v>
      </c>
      <c r="C617" t="s">
        <v>15</v>
      </c>
      <c r="D617" t="s">
        <v>19</v>
      </c>
      <c r="E617">
        <v>480</v>
      </c>
      <c r="F617">
        <v>7</v>
      </c>
      <c r="G617">
        <v>1744</v>
      </c>
      <c r="H617">
        <v>1671</v>
      </c>
      <c r="I617">
        <v>73</v>
      </c>
      <c r="J617">
        <v>13.8</v>
      </c>
      <c r="K617">
        <v>473</v>
      </c>
      <c r="L617">
        <v>0.98541666666666672</v>
      </c>
      <c r="M617">
        <v>0.84803382663847782</v>
      </c>
      <c r="N617">
        <v>0.95814220183486243</v>
      </c>
      <c r="O617">
        <v>0.80068750000000011</v>
      </c>
    </row>
    <row r="618" spans="1:15" x14ac:dyDescent="0.3">
      <c r="A618">
        <v>617</v>
      </c>
      <c r="B618" s="1">
        <v>45709</v>
      </c>
      <c r="C618" t="s">
        <v>20</v>
      </c>
      <c r="D618" t="s">
        <v>16</v>
      </c>
      <c r="E618">
        <v>480</v>
      </c>
      <c r="F618">
        <v>6</v>
      </c>
      <c r="G618">
        <v>1885</v>
      </c>
      <c r="H618">
        <v>1793</v>
      </c>
      <c r="I618">
        <v>92</v>
      </c>
      <c r="J618">
        <v>12</v>
      </c>
      <c r="K618">
        <v>474</v>
      </c>
      <c r="L618">
        <v>0.98750000000000004</v>
      </c>
      <c r="M618">
        <v>0.79535864978902948</v>
      </c>
      <c r="N618">
        <v>0.95119363395225465</v>
      </c>
      <c r="O618">
        <v>0.74708333333333332</v>
      </c>
    </row>
    <row r="619" spans="1:15" x14ac:dyDescent="0.3">
      <c r="A619">
        <v>618</v>
      </c>
      <c r="B619" s="1">
        <v>45709</v>
      </c>
      <c r="C619" t="s">
        <v>20</v>
      </c>
      <c r="D619" t="s">
        <v>17</v>
      </c>
      <c r="E619">
        <v>480</v>
      </c>
      <c r="F619">
        <v>189</v>
      </c>
      <c r="G619">
        <v>1140</v>
      </c>
      <c r="H619">
        <v>1083</v>
      </c>
      <c r="I619">
        <v>57</v>
      </c>
      <c r="J619">
        <v>12.6</v>
      </c>
      <c r="K619">
        <v>291</v>
      </c>
      <c r="L619">
        <v>0.60624999999999996</v>
      </c>
      <c r="M619">
        <v>0.82268041237113398</v>
      </c>
      <c r="N619">
        <v>0.95</v>
      </c>
      <c r="O619">
        <v>0.47381249999999991</v>
      </c>
    </row>
    <row r="620" spans="1:15" x14ac:dyDescent="0.3">
      <c r="A620">
        <v>619</v>
      </c>
      <c r="B620" s="1">
        <v>45709</v>
      </c>
      <c r="C620" t="s">
        <v>20</v>
      </c>
      <c r="D620" t="s">
        <v>18</v>
      </c>
      <c r="E620">
        <v>480</v>
      </c>
      <c r="F620">
        <v>104</v>
      </c>
      <c r="G620">
        <v>1478</v>
      </c>
      <c r="H620">
        <v>1416</v>
      </c>
      <c r="I620">
        <v>62</v>
      </c>
      <c r="J620">
        <v>13.2</v>
      </c>
      <c r="K620">
        <v>376</v>
      </c>
      <c r="L620">
        <v>0.78333333333333333</v>
      </c>
      <c r="M620">
        <v>0.86478723404255309</v>
      </c>
      <c r="N620">
        <v>0.95805142083897155</v>
      </c>
      <c r="O620">
        <v>0.64899999999999991</v>
      </c>
    </row>
    <row r="621" spans="1:15" x14ac:dyDescent="0.3">
      <c r="A621">
        <v>620</v>
      </c>
      <c r="B621" s="1">
        <v>45709</v>
      </c>
      <c r="C621" t="s">
        <v>20</v>
      </c>
      <c r="D621" t="s">
        <v>19</v>
      </c>
      <c r="E621">
        <v>480</v>
      </c>
      <c r="F621">
        <v>72</v>
      </c>
      <c r="G621">
        <v>1681</v>
      </c>
      <c r="H621">
        <v>1653</v>
      </c>
      <c r="I621">
        <v>28</v>
      </c>
      <c r="J621">
        <v>13.8</v>
      </c>
      <c r="K621">
        <v>408</v>
      </c>
      <c r="L621">
        <v>0.85</v>
      </c>
      <c r="M621">
        <v>0.94762254901960796</v>
      </c>
      <c r="N621">
        <v>0.98334324806662698</v>
      </c>
      <c r="O621">
        <v>0.79206250000000011</v>
      </c>
    </row>
    <row r="622" spans="1:15" x14ac:dyDescent="0.3">
      <c r="A622">
        <v>621</v>
      </c>
      <c r="B622" s="1">
        <v>45709</v>
      </c>
      <c r="C622" t="s">
        <v>21</v>
      </c>
      <c r="D622" t="s">
        <v>16</v>
      </c>
      <c r="E622">
        <v>480</v>
      </c>
      <c r="F622">
        <v>47</v>
      </c>
      <c r="G622">
        <v>2051</v>
      </c>
      <c r="H622">
        <v>2017</v>
      </c>
      <c r="I622">
        <v>34</v>
      </c>
      <c r="J622">
        <v>12</v>
      </c>
      <c r="K622">
        <v>433</v>
      </c>
      <c r="L622">
        <v>0.90208333333333335</v>
      </c>
      <c r="M622">
        <v>0.94734411085450343</v>
      </c>
      <c r="N622">
        <v>0.98342272062408587</v>
      </c>
      <c r="O622">
        <v>0.8404166666666667</v>
      </c>
    </row>
    <row r="623" spans="1:15" x14ac:dyDescent="0.3">
      <c r="A623">
        <v>622</v>
      </c>
      <c r="B623" s="1">
        <v>45709</v>
      </c>
      <c r="C623" t="s">
        <v>21</v>
      </c>
      <c r="D623" t="s">
        <v>17</v>
      </c>
      <c r="E623">
        <v>480</v>
      </c>
      <c r="F623">
        <v>98</v>
      </c>
      <c r="G623">
        <v>1524</v>
      </c>
      <c r="H623">
        <v>1496</v>
      </c>
      <c r="I623">
        <v>28</v>
      </c>
      <c r="J623">
        <v>12.6</v>
      </c>
      <c r="K623">
        <v>382</v>
      </c>
      <c r="L623">
        <v>0.79583333333333328</v>
      </c>
      <c r="M623">
        <v>0.83780104712041881</v>
      </c>
      <c r="N623">
        <v>0.98162729658792647</v>
      </c>
      <c r="O623">
        <v>0.65449999999999997</v>
      </c>
    </row>
    <row r="624" spans="1:15" x14ac:dyDescent="0.3">
      <c r="A624">
        <v>623</v>
      </c>
      <c r="B624" s="1">
        <v>45709</v>
      </c>
      <c r="C624" t="s">
        <v>21</v>
      </c>
      <c r="D624" t="s">
        <v>18</v>
      </c>
      <c r="E624">
        <v>480</v>
      </c>
      <c r="F624">
        <v>39</v>
      </c>
      <c r="G624">
        <v>1885</v>
      </c>
      <c r="H624">
        <v>1788</v>
      </c>
      <c r="I624">
        <v>97</v>
      </c>
      <c r="J624">
        <v>13.2</v>
      </c>
      <c r="K624">
        <v>441</v>
      </c>
      <c r="L624">
        <v>0.91874999999999996</v>
      </c>
      <c r="M624">
        <v>0.94036281179138326</v>
      </c>
      <c r="N624">
        <v>0.94854111405835539</v>
      </c>
      <c r="O624">
        <v>0.8194999999999999</v>
      </c>
    </row>
    <row r="625" spans="1:15" x14ac:dyDescent="0.3">
      <c r="A625">
        <v>624</v>
      </c>
      <c r="B625" s="1">
        <v>45709</v>
      </c>
      <c r="C625" t="s">
        <v>21</v>
      </c>
      <c r="D625" t="s">
        <v>19</v>
      </c>
      <c r="E625">
        <v>480</v>
      </c>
      <c r="F625">
        <v>16</v>
      </c>
      <c r="G625">
        <v>1836</v>
      </c>
      <c r="H625">
        <v>1785</v>
      </c>
      <c r="I625">
        <v>51</v>
      </c>
      <c r="J625">
        <v>13.8</v>
      </c>
      <c r="K625">
        <v>464</v>
      </c>
      <c r="L625">
        <v>0.96666666666666667</v>
      </c>
      <c r="M625">
        <v>0.91008620689655184</v>
      </c>
      <c r="N625">
        <v>0.97222222222222221</v>
      </c>
      <c r="O625">
        <v>0.85531250000000014</v>
      </c>
    </row>
    <row r="626" spans="1:15" x14ac:dyDescent="0.3">
      <c r="A626">
        <v>625</v>
      </c>
      <c r="B626" s="1">
        <v>45710</v>
      </c>
      <c r="C626" t="s">
        <v>15</v>
      </c>
      <c r="D626" t="s">
        <v>16</v>
      </c>
      <c r="E626">
        <v>480</v>
      </c>
      <c r="F626">
        <v>189</v>
      </c>
      <c r="G626">
        <v>1318</v>
      </c>
      <c r="H626">
        <v>1264</v>
      </c>
      <c r="I626">
        <v>54</v>
      </c>
      <c r="J626">
        <v>12</v>
      </c>
      <c r="K626">
        <v>291</v>
      </c>
      <c r="L626">
        <v>0.60624999999999996</v>
      </c>
      <c r="M626">
        <v>0.90584192439862543</v>
      </c>
      <c r="N626">
        <v>0.95902883156297425</v>
      </c>
      <c r="O626">
        <v>0.52666666666666662</v>
      </c>
    </row>
    <row r="627" spans="1:15" x14ac:dyDescent="0.3">
      <c r="A627">
        <v>626</v>
      </c>
      <c r="B627" s="1">
        <v>45710</v>
      </c>
      <c r="C627" t="s">
        <v>15</v>
      </c>
      <c r="D627" t="s">
        <v>17</v>
      </c>
      <c r="E627">
        <v>480</v>
      </c>
      <c r="F627">
        <v>21</v>
      </c>
      <c r="G627">
        <v>2029</v>
      </c>
      <c r="H627">
        <v>1969</v>
      </c>
      <c r="I627">
        <v>60</v>
      </c>
      <c r="J627">
        <v>12.6</v>
      </c>
      <c r="K627">
        <v>459</v>
      </c>
      <c r="L627">
        <v>0.95625000000000004</v>
      </c>
      <c r="M627">
        <v>0.92830065359477121</v>
      </c>
      <c r="N627">
        <v>0.97042878265155252</v>
      </c>
      <c r="O627">
        <v>0.86143749999999997</v>
      </c>
    </row>
    <row r="628" spans="1:15" x14ac:dyDescent="0.3">
      <c r="A628">
        <v>627</v>
      </c>
      <c r="B628" s="1">
        <v>45710</v>
      </c>
      <c r="C628" t="s">
        <v>15</v>
      </c>
      <c r="D628" t="s">
        <v>18</v>
      </c>
      <c r="E628">
        <v>480</v>
      </c>
      <c r="F628">
        <v>0</v>
      </c>
      <c r="G628">
        <v>1641</v>
      </c>
      <c r="H628">
        <v>1580</v>
      </c>
      <c r="I628">
        <v>61</v>
      </c>
      <c r="J628">
        <v>13.2</v>
      </c>
      <c r="K628">
        <v>480</v>
      </c>
      <c r="L628">
        <v>1</v>
      </c>
      <c r="M628">
        <v>0.75212499999999993</v>
      </c>
      <c r="N628">
        <v>0.96282754418037786</v>
      </c>
      <c r="O628">
        <v>0.72416666666666663</v>
      </c>
    </row>
    <row r="629" spans="1:15" x14ac:dyDescent="0.3">
      <c r="A629">
        <v>628</v>
      </c>
      <c r="B629" s="1">
        <v>45710</v>
      </c>
      <c r="C629" t="s">
        <v>15</v>
      </c>
      <c r="D629" t="s">
        <v>19</v>
      </c>
      <c r="E629">
        <v>480</v>
      </c>
      <c r="F629">
        <v>75</v>
      </c>
      <c r="G629">
        <v>1525</v>
      </c>
      <c r="H629">
        <v>1472</v>
      </c>
      <c r="I629">
        <v>53</v>
      </c>
      <c r="J629">
        <v>13.8</v>
      </c>
      <c r="K629">
        <v>405</v>
      </c>
      <c r="L629">
        <v>0.84375</v>
      </c>
      <c r="M629">
        <v>0.86604938271604937</v>
      </c>
      <c r="N629">
        <v>0.96524590163934432</v>
      </c>
      <c r="O629">
        <v>0.70533333333333337</v>
      </c>
    </row>
    <row r="630" spans="1:15" x14ac:dyDescent="0.3">
      <c r="A630">
        <v>629</v>
      </c>
      <c r="B630" s="1">
        <v>45710</v>
      </c>
      <c r="C630" t="s">
        <v>20</v>
      </c>
      <c r="D630" t="s">
        <v>16</v>
      </c>
      <c r="E630">
        <v>480</v>
      </c>
      <c r="F630">
        <v>0</v>
      </c>
      <c r="G630">
        <v>2342</v>
      </c>
      <c r="H630">
        <v>2290</v>
      </c>
      <c r="I630">
        <v>52</v>
      </c>
      <c r="J630">
        <v>12</v>
      </c>
      <c r="K630">
        <v>480</v>
      </c>
      <c r="L630">
        <v>1</v>
      </c>
      <c r="M630">
        <v>0.97583333333333333</v>
      </c>
      <c r="N630">
        <v>0.97779675491033302</v>
      </c>
      <c r="O630">
        <v>0.95416666666666661</v>
      </c>
    </row>
    <row r="631" spans="1:15" x14ac:dyDescent="0.3">
      <c r="A631">
        <v>630</v>
      </c>
      <c r="B631" s="1">
        <v>45710</v>
      </c>
      <c r="C631" t="s">
        <v>20</v>
      </c>
      <c r="D631" t="s">
        <v>17</v>
      </c>
      <c r="E631">
        <v>480</v>
      </c>
      <c r="F631">
        <v>0</v>
      </c>
      <c r="G631">
        <v>2062</v>
      </c>
      <c r="H631">
        <v>1980</v>
      </c>
      <c r="I631">
        <v>82</v>
      </c>
      <c r="J631">
        <v>12.6</v>
      </c>
      <c r="K631">
        <v>480</v>
      </c>
      <c r="L631">
        <v>1</v>
      </c>
      <c r="M631">
        <v>0.90212500000000007</v>
      </c>
      <c r="N631">
        <v>0.96023278370514065</v>
      </c>
      <c r="O631">
        <v>0.86625000000000008</v>
      </c>
    </row>
    <row r="632" spans="1:15" x14ac:dyDescent="0.3">
      <c r="A632">
        <v>631</v>
      </c>
      <c r="B632" s="1">
        <v>45710</v>
      </c>
      <c r="C632" t="s">
        <v>20</v>
      </c>
      <c r="D632" t="s">
        <v>18</v>
      </c>
      <c r="E632">
        <v>480</v>
      </c>
      <c r="F632">
        <v>5</v>
      </c>
      <c r="G632">
        <v>2026</v>
      </c>
      <c r="H632">
        <v>1941</v>
      </c>
      <c r="I632">
        <v>85</v>
      </c>
      <c r="J632">
        <v>13.2</v>
      </c>
      <c r="K632">
        <v>475</v>
      </c>
      <c r="L632">
        <v>0.98958333333333337</v>
      </c>
      <c r="M632">
        <v>0.93835789473684206</v>
      </c>
      <c r="N632">
        <v>0.9580454096742349</v>
      </c>
      <c r="O632">
        <v>0.889625</v>
      </c>
    </row>
    <row r="633" spans="1:15" x14ac:dyDescent="0.3">
      <c r="A633">
        <v>632</v>
      </c>
      <c r="B633" s="1">
        <v>45710</v>
      </c>
      <c r="C633" t="s">
        <v>20</v>
      </c>
      <c r="D633" t="s">
        <v>19</v>
      </c>
      <c r="E633">
        <v>480</v>
      </c>
      <c r="F633">
        <v>62</v>
      </c>
      <c r="G633">
        <v>1577</v>
      </c>
      <c r="H633">
        <v>1536</v>
      </c>
      <c r="I633">
        <v>41</v>
      </c>
      <c r="J633">
        <v>13.8</v>
      </c>
      <c r="K633">
        <v>418</v>
      </c>
      <c r="L633">
        <v>0.87083333333333335</v>
      </c>
      <c r="M633">
        <v>0.86772727272727279</v>
      </c>
      <c r="N633">
        <v>0.97400126823081801</v>
      </c>
      <c r="O633">
        <v>0.73599999999999999</v>
      </c>
    </row>
    <row r="634" spans="1:15" x14ac:dyDescent="0.3">
      <c r="A634">
        <v>633</v>
      </c>
      <c r="B634" s="1">
        <v>45710</v>
      </c>
      <c r="C634" t="s">
        <v>21</v>
      </c>
      <c r="D634" t="s">
        <v>16</v>
      </c>
      <c r="E634">
        <v>480</v>
      </c>
      <c r="F634">
        <v>145</v>
      </c>
      <c r="G634">
        <v>1320</v>
      </c>
      <c r="H634">
        <v>1299</v>
      </c>
      <c r="I634">
        <v>21</v>
      </c>
      <c r="J634">
        <v>12</v>
      </c>
      <c r="K634">
        <v>335</v>
      </c>
      <c r="L634">
        <v>0.69791666666666663</v>
      </c>
      <c r="M634">
        <v>0.78805970149253735</v>
      </c>
      <c r="N634">
        <v>0.98409090909090913</v>
      </c>
      <c r="O634">
        <v>0.54125000000000001</v>
      </c>
    </row>
    <row r="635" spans="1:15" x14ac:dyDescent="0.3">
      <c r="A635">
        <v>634</v>
      </c>
      <c r="B635" s="1">
        <v>45710</v>
      </c>
      <c r="C635" t="s">
        <v>21</v>
      </c>
      <c r="D635" t="s">
        <v>17</v>
      </c>
      <c r="E635">
        <v>480</v>
      </c>
      <c r="F635">
        <v>0</v>
      </c>
      <c r="G635">
        <v>2094</v>
      </c>
      <c r="H635">
        <v>1976</v>
      </c>
      <c r="I635">
        <v>118</v>
      </c>
      <c r="J635">
        <v>12.6</v>
      </c>
      <c r="K635">
        <v>480</v>
      </c>
      <c r="L635">
        <v>1</v>
      </c>
      <c r="M635">
        <v>0.91612499999999997</v>
      </c>
      <c r="N635">
        <v>0.94364851957975171</v>
      </c>
      <c r="O635">
        <v>0.86450000000000005</v>
      </c>
    </row>
    <row r="636" spans="1:15" x14ac:dyDescent="0.3">
      <c r="A636">
        <v>635</v>
      </c>
      <c r="B636" s="1">
        <v>45710</v>
      </c>
      <c r="C636" t="s">
        <v>21</v>
      </c>
      <c r="D636" t="s">
        <v>18</v>
      </c>
      <c r="E636">
        <v>480</v>
      </c>
      <c r="F636">
        <v>8</v>
      </c>
      <c r="G636">
        <v>1794</v>
      </c>
      <c r="H636">
        <v>1721</v>
      </c>
      <c r="I636">
        <v>73</v>
      </c>
      <c r="J636">
        <v>13.2</v>
      </c>
      <c r="K636">
        <v>472</v>
      </c>
      <c r="L636">
        <v>0.98333333333333328</v>
      </c>
      <c r="M636">
        <v>0.8361864406779661</v>
      </c>
      <c r="N636">
        <v>0.95930880713489408</v>
      </c>
      <c r="O636">
        <v>0.78879166666666656</v>
      </c>
    </row>
    <row r="637" spans="1:15" x14ac:dyDescent="0.3">
      <c r="A637">
        <v>636</v>
      </c>
      <c r="B637" s="1">
        <v>45710</v>
      </c>
      <c r="C637" t="s">
        <v>21</v>
      </c>
      <c r="D637" t="s">
        <v>19</v>
      </c>
      <c r="E637">
        <v>480</v>
      </c>
      <c r="F637">
        <v>232</v>
      </c>
      <c r="G637">
        <v>866</v>
      </c>
      <c r="H637">
        <v>856</v>
      </c>
      <c r="I637">
        <v>10</v>
      </c>
      <c r="J637">
        <v>13.8</v>
      </c>
      <c r="K637">
        <v>248</v>
      </c>
      <c r="L637">
        <v>0.51666666666666672</v>
      </c>
      <c r="M637">
        <v>0.80314516129032265</v>
      </c>
      <c r="N637">
        <v>0.98845265588914555</v>
      </c>
      <c r="O637">
        <v>0.41016666666666679</v>
      </c>
    </row>
    <row r="638" spans="1:15" x14ac:dyDescent="0.3">
      <c r="A638">
        <v>637</v>
      </c>
      <c r="B638" s="1">
        <v>45711</v>
      </c>
      <c r="C638" t="s">
        <v>15</v>
      </c>
      <c r="D638" t="s">
        <v>16</v>
      </c>
      <c r="E638">
        <v>480</v>
      </c>
      <c r="F638">
        <v>0</v>
      </c>
      <c r="G638">
        <v>1821</v>
      </c>
      <c r="H638">
        <v>1768</v>
      </c>
      <c r="I638">
        <v>53</v>
      </c>
      <c r="J638">
        <v>12</v>
      </c>
      <c r="K638">
        <v>480</v>
      </c>
      <c r="L638">
        <v>1</v>
      </c>
      <c r="M638">
        <v>0.75875000000000004</v>
      </c>
      <c r="N638">
        <v>0.97089511257550798</v>
      </c>
      <c r="O638">
        <v>0.73666666666666669</v>
      </c>
    </row>
    <row r="639" spans="1:15" x14ac:dyDescent="0.3">
      <c r="A639">
        <v>638</v>
      </c>
      <c r="B639" s="1">
        <v>45711</v>
      </c>
      <c r="C639" t="s">
        <v>15</v>
      </c>
      <c r="D639" t="s">
        <v>17</v>
      </c>
      <c r="E639">
        <v>480</v>
      </c>
      <c r="F639">
        <v>71</v>
      </c>
      <c r="G639">
        <v>1465</v>
      </c>
      <c r="H639">
        <v>1394</v>
      </c>
      <c r="I639">
        <v>71</v>
      </c>
      <c r="J639">
        <v>12.6</v>
      </c>
      <c r="K639">
        <v>409</v>
      </c>
      <c r="L639">
        <v>0.8520833333333333</v>
      </c>
      <c r="M639">
        <v>0.75220048899755498</v>
      </c>
      <c r="N639">
        <v>0.95153583617747439</v>
      </c>
      <c r="O639">
        <v>0.60987499999999994</v>
      </c>
    </row>
    <row r="640" spans="1:15" x14ac:dyDescent="0.3">
      <c r="A640">
        <v>639</v>
      </c>
      <c r="B640" s="1">
        <v>45711</v>
      </c>
      <c r="C640" t="s">
        <v>15</v>
      </c>
      <c r="D640" t="s">
        <v>18</v>
      </c>
      <c r="E640">
        <v>480</v>
      </c>
      <c r="F640">
        <v>118</v>
      </c>
      <c r="G640">
        <v>1609</v>
      </c>
      <c r="H640">
        <v>1524</v>
      </c>
      <c r="I640">
        <v>85</v>
      </c>
      <c r="J640">
        <v>13.2</v>
      </c>
      <c r="K640">
        <v>362</v>
      </c>
      <c r="L640">
        <v>0.75416666666666665</v>
      </c>
      <c r="M640">
        <v>0.97784530386740331</v>
      </c>
      <c r="N640">
        <v>0.94717215661901799</v>
      </c>
      <c r="O640">
        <v>0.69850000000000001</v>
      </c>
    </row>
    <row r="641" spans="1:15" x14ac:dyDescent="0.3">
      <c r="A641">
        <v>640</v>
      </c>
      <c r="B641" s="1">
        <v>45711</v>
      </c>
      <c r="C641" t="s">
        <v>15</v>
      </c>
      <c r="D641" t="s">
        <v>19</v>
      </c>
      <c r="E641">
        <v>480</v>
      </c>
      <c r="F641">
        <v>0</v>
      </c>
      <c r="G641">
        <v>1904</v>
      </c>
      <c r="H641">
        <v>1853</v>
      </c>
      <c r="I641">
        <v>51</v>
      </c>
      <c r="J641">
        <v>13.8</v>
      </c>
      <c r="K641">
        <v>480</v>
      </c>
      <c r="L641">
        <v>1</v>
      </c>
      <c r="M641">
        <v>0.91233333333333333</v>
      </c>
      <c r="N641">
        <v>0.9732142857142857</v>
      </c>
      <c r="O641">
        <v>0.88789583333333333</v>
      </c>
    </row>
    <row r="642" spans="1:15" x14ac:dyDescent="0.3">
      <c r="A642">
        <v>641</v>
      </c>
      <c r="B642" s="1">
        <v>45711</v>
      </c>
      <c r="C642" t="s">
        <v>20</v>
      </c>
      <c r="D642" t="s">
        <v>16</v>
      </c>
      <c r="E642">
        <v>480</v>
      </c>
      <c r="F642">
        <v>0</v>
      </c>
      <c r="G642">
        <v>2022</v>
      </c>
      <c r="H642">
        <v>1979</v>
      </c>
      <c r="I642">
        <v>43</v>
      </c>
      <c r="J642">
        <v>12</v>
      </c>
      <c r="K642">
        <v>480</v>
      </c>
      <c r="L642">
        <v>1</v>
      </c>
      <c r="M642">
        <v>0.84250000000000003</v>
      </c>
      <c r="N642">
        <v>0.97873392680514337</v>
      </c>
      <c r="O642">
        <v>0.82458333333333333</v>
      </c>
    </row>
    <row r="643" spans="1:15" x14ac:dyDescent="0.3">
      <c r="A643">
        <v>642</v>
      </c>
      <c r="B643" s="1">
        <v>45711</v>
      </c>
      <c r="C643" t="s">
        <v>20</v>
      </c>
      <c r="D643" t="s">
        <v>17</v>
      </c>
      <c r="E643">
        <v>480</v>
      </c>
      <c r="F643">
        <v>53</v>
      </c>
      <c r="G643">
        <v>1661</v>
      </c>
      <c r="H643">
        <v>1610</v>
      </c>
      <c r="I643">
        <v>51</v>
      </c>
      <c r="J643">
        <v>12.6</v>
      </c>
      <c r="K643">
        <v>427</v>
      </c>
      <c r="L643">
        <v>0.88958333333333328</v>
      </c>
      <c r="M643">
        <v>0.81688524590163925</v>
      </c>
      <c r="N643">
        <v>0.96929560505719448</v>
      </c>
      <c r="O643">
        <v>0.70437499999999986</v>
      </c>
    </row>
    <row r="644" spans="1:15" x14ac:dyDescent="0.3">
      <c r="A644">
        <v>643</v>
      </c>
      <c r="B644" s="1">
        <v>45711</v>
      </c>
      <c r="C644" t="s">
        <v>20</v>
      </c>
      <c r="D644" t="s">
        <v>18</v>
      </c>
      <c r="E644">
        <v>480</v>
      </c>
      <c r="F644">
        <v>25</v>
      </c>
      <c r="G644">
        <v>1703</v>
      </c>
      <c r="H644">
        <v>1672</v>
      </c>
      <c r="I644">
        <v>31</v>
      </c>
      <c r="J644">
        <v>13.2</v>
      </c>
      <c r="K644">
        <v>455</v>
      </c>
      <c r="L644">
        <v>0.94791666666666663</v>
      </c>
      <c r="M644">
        <v>0.8234285714285714</v>
      </c>
      <c r="N644">
        <v>0.98179682912507338</v>
      </c>
      <c r="O644">
        <v>0.7663333333333332</v>
      </c>
    </row>
    <row r="645" spans="1:15" x14ac:dyDescent="0.3">
      <c r="A645">
        <v>644</v>
      </c>
      <c r="B645" s="1">
        <v>45711</v>
      </c>
      <c r="C645" t="s">
        <v>20</v>
      </c>
      <c r="D645" t="s">
        <v>19</v>
      </c>
      <c r="E645">
        <v>480</v>
      </c>
      <c r="F645">
        <v>5</v>
      </c>
      <c r="G645">
        <v>1582</v>
      </c>
      <c r="H645">
        <v>1495</v>
      </c>
      <c r="I645">
        <v>87</v>
      </c>
      <c r="J645">
        <v>13.8</v>
      </c>
      <c r="K645">
        <v>475</v>
      </c>
      <c r="L645">
        <v>0.98958333333333337</v>
      </c>
      <c r="M645">
        <v>0.76602105263157905</v>
      </c>
      <c r="N645">
        <v>0.94500632111251581</v>
      </c>
      <c r="O645">
        <v>0.71635416666666685</v>
      </c>
    </row>
    <row r="646" spans="1:15" x14ac:dyDescent="0.3">
      <c r="A646">
        <v>645</v>
      </c>
      <c r="B646" s="1">
        <v>45711</v>
      </c>
      <c r="C646" t="s">
        <v>21</v>
      </c>
      <c r="D646" t="s">
        <v>16</v>
      </c>
      <c r="E646">
        <v>480</v>
      </c>
      <c r="F646">
        <v>0</v>
      </c>
      <c r="G646">
        <v>2253</v>
      </c>
      <c r="H646">
        <v>2170</v>
      </c>
      <c r="I646">
        <v>83</v>
      </c>
      <c r="J646">
        <v>12</v>
      </c>
      <c r="K646">
        <v>480</v>
      </c>
      <c r="L646">
        <v>1</v>
      </c>
      <c r="M646">
        <v>0.93874999999999997</v>
      </c>
      <c r="N646">
        <v>0.96316023080337332</v>
      </c>
      <c r="O646">
        <v>0.90416666666666667</v>
      </c>
    </row>
    <row r="647" spans="1:15" x14ac:dyDescent="0.3">
      <c r="A647">
        <v>646</v>
      </c>
      <c r="B647" s="1">
        <v>45711</v>
      </c>
      <c r="C647" t="s">
        <v>21</v>
      </c>
      <c r="D647" t="s">
        <v>17</v>
      </c>
      <c r="E647">
        <v>480</v>
      </c>
      <c r="F647">
        <v>0</v>
      </c>
      <c r="G647">
        <v>2216</v>
      </c>
      <c r="H647">
        <v>2167</v>
      </c>
      <c r="I647">
        <v>49</v>
      </c>
      <c r="J647">
        <v>12.6</v>
      </c>
      <c r="K647">
        <v>480</v>
      </c>
      <c r="L647">
        <v>1</v>
      </c>
      <c r="M647">
        <v>0.96949999999999992</v>
      </c>
      <c r="N647">
        <v>0.9778880866425993</v>
      </c>
      <c r="O647">
        <v>0.94806249999999992</v>
      </c>
    </row>
    <row r="648" spans="1:15" x14ac:dyDescent="0.3">
      <c r="A648">
        <v>647</v>
      </c>
      <c r="B648" s="1">
        <v>45711</v>
      </c>
      <c r="C648" t="s">
        <v>21</v>
      </c>
      <c r="D648" t="s">
        <v>18</v>
      </c>
      <c r="E648">
        <v>480</v>
      </c>
      <c r="F648">
        <v>5</v>
      </c>
      <c r="G648">
        <v>1873</v>
      </c>
      <c r="H648">
        <v>1783</v>
      </c>
      <c r="I648">
        <v>90</v>
      </c>
      <c r="J648">
        <v>13.2</v>
      </c>
      <c r="K648">
        <v>475</v>
      </c>
      <c r="L648">
        <v>0.98958333333333337</v>
      </c>
      <c r="M648">
        <v>0.86749473684210521</v>
      </c>
      <c r="N648">
        <v>0.95194874532835028</v>
      </c>
      <c r="O648">
        <v>0.81720833333333331</v>
      </c>
    </row>
    <row r="649" spans="1:15" x14ac:dyDescent="0.3">
      <c r="A649">
        <v>648</v>
      </c>
      <c r="B649" s="1">
        <v>45711</v>
      </c>
      <c r="C649" t="s">
        <v>21</v>
      </c>
      <c r="D649" t="s">
        <v>19</v>
      </c>
      <c r="E649">
        <v>480</v>
      </c>
      <c r="F649">
        <v>34</v>
      </c>
      <c r="G649">
        <v>1592</v>
      </c>
      <c r="H649">
        <v>1537</v>
      </c>
      <c r="I649">
        <v>55</v>
      </c>
      <c r="J649">
        <v>13.8</v>
      </c>
      <c r="K649">
        <v>446</v>
      </c>
      <c r="L649">
        <v>0.9291666666666667</v>
      </c>
      <c r="M649">
        <v>0.82098654708520191</v>
      </c>
      <c r="N649">
        <v>0.96545226130653261</v>
      </c>
      <c r="O649">
        <v>0.7364791666666668</v>
      </c>
    </row>
    <row r="650" spans="1:15" x14ac:dyDescent="0.3">
      <c r="A650">
        <v>649</v>
      </c>
      <c r="B650" s="1">
        <v>45712</v>
      </c>
      <c r="C650" t="s">
        <v>15</v>
      </c>
      <c r="D650" t="s">
        <v>16</v>
      </c>
      <c r="E650">
        <v>480</v>
      </c>
      <c r="F650">
        <v>29</v>
      </c>
      <c r="G650">
        <v>2186</v>
      </c>
      <c r="H650">
        <v>2060</v>
      </c>
      <c r="I650">
        <v>126</v>
      </c>
      <c r="J650">
        <v>12</v>
      </c>
      <c r="K650">
        <v>451</v>
      </c>
      <c r="L650">
        <v>0.93958333333333333</v>
      </c>
      <c r="M650">
        <v>0.9694013303769401</v>
      </c>
      <c r="N650">
        <v>0.94236047575480331</v>
      </c>
      <c r="O650">
        <v>0.85833333333333328</v>
      </c>
    </row>
    <row r="651" spans="1:15" x14ac:dyDescent="0.3">
      <c r="A651">
        <v>650</v>
      </c>
      <c r="B651" s="1">
        <v>45712</v>
      </c>
      <c r="C651" t="s">
        <v>15</v>
      </c>
      <c r="D651" t="s">
        <v>17</v>
      </c>
      <c r="E651">
        <v>480</v>
      </c>
      <c r="F651">
        <v>22</v>
      </c>
      <c r="G651">
        <v>2111</v>
      </c>
      <c r="H651">
        <v>2075</v>
      </c>
      <c r="I651">
        <v>36</v>
      </c>
      <c r="J651">
        <v>12.6</v>
      </c>
      <c r="K651">
        <v>458</v>
      </c>
      <c r="L651">
        <v>0.95416666666666672</v>
      </c>
      <c r="M651">
        <v>0.96792576419213971</v>
      </c>
      <c r="N651">
        <v>0.98294647086688769</v>
      </c>
      <c r="O651">
        <v>0.90781250000000002</v>
      </c>
    </row>
    <row r="652" spans="1:15" x14ac:dyDescent="0.3">
      <c r="A652">
        <v>651</v>
      </c>
      <c r="B652" s="1">
        <v>45712</v>
      </c>
      <c r="C652" t="s">
        <v>15</v>
      </c>
      <c r="D652" t="s">
        <v>18</v>
      </c>
      <c r="E652">
        <v>480</v>
      </c>
      <c r="F652">
        <v>28</v>
      </c>
      <c r="G652">
        <v>1907</v>
      </c>
      <c r="H652">
        <v>1856</v>
      </c>
      <c r="I652">
        <v>51</v>
      </c>
      <c r="J652">
        <v>13.2</v>
      </c>
      <c r="K652">
        <v>452</v>
      </c>
      <c r="L652">
        <v>0.94166666666666665</v>
      </c>
      <c r="M652">
        <v>0.9281858407079645</v>
      </c>
      <c r="N652">
        <v>0.97325642370214993</v>
      </c>
      <c r="O652">
        <v>0.85066666666666657</v>
      </c>
    </row>
    <row r="653" spans="1:15" x14ac:dyDescent="0.3">
      <c r="A653">
        <v>652</v>
      </c>
      <c r="B653" s="1">
        <v>45712</v>
      </c>
      <c r="C653" t="s">
        <v>15</v>
      </c>
      <c r="D653" t="s">
        <v>19</v>
      </c>
      <c r="E653">
        <v>480</v>
      </c>
      <c r="F653">
        <v>125</v>
      </c>
      <c r="G653">
        <v>1483</v>
      </c>
      <c r="H653">
        <v>1403</v>
      </c>
      <c r="I653">
        <v>80</v>
      </c>
      <c r="J653">
        <v>13.8</v>
      </c>
      <c r="K653">
        <v>355</v>
      </c>
      <c r="L653">
        <v>0.73958333333333337</v>
      </c>
      <c r="M653">
        <v>0.96081690140845077</v>
      </c>
      <c r="N653">
        <v>0.94605529332434257</v>
      </c>
      <c r="O653">
        <v>0.67227083333333337</v>
      </c>
    </row>
    <row r="654" spans="1:15" x14ac:dyDescent="0.3">
      <c r="A654">
        <v>653</v>
      </c>
      <c r="B654" s="1">
        <v>45712</v>
      </c>
      <c r="C654" t="s">
        <v>20</v>
      </c>
      <c r="D654" t="s">
        <v>16</v>
      </c>
      <c r="E654">
        <v>480</v>
      </c>
      <c r="F654">
        <v>29</v>
      </c>
      <c r="G654">
        <v>1768</v>
      </c>
      <c r="H654">
        <v>1698</v>
      </c>
      <c r="I654">
        <v>70</v>
      </c>
      <c r="J654">
        <v>12</v>
      </c>
      <c r="K654">
        <v>451</v>
      </c>
      <c r="L654">
        <v>0.93958333333333333</v>
      </c>
      <c r="M654">
        <v>0.78403547671840357</v>
      </c>
      <c r="N654">
        <v>0.96040723981900455</v>
      </c>
      <c r="O654">
        <v>0.70750000000000002</v>
      </c>
    </row>
    <row r="655" spans="1:15" x14ac:dyDescent="0.3">
      <c r="A655">
        <v>654</v>
      </c>
      <c r="B655" s="1">
        <v>45712</v>
      </c>
      <c r="C655" t="s">
        <v>20</v>
      </c>
      <c r="D655" t="s">
        <v>17</v>
      </c>
      <c r="E655">
        <v>480</v>
      </c>
      <c r="F655">
        <v>58</v>
      </c>
      <c r="G655">
        <v>1784</v>
      </c>
      <c r="H655">
        <v>1705</v>
      </c>
      <c r="I655">
        <v>79</v>
      </c>
      <c r="J655">
        <v>12.6</v>
      </c>
      <c r="K655">
        <v>422</v>
      </c>
      <c r="L655">
        <v>0.87916666666666665</v>
      </c>
      <c r="M655">
        <v>0.88777251184834116</v>
      </c>
      <c r="N655">
        <v>0.95571748878923768</v>
      </c>
      <c r="O655">
        <v>0.74593750000000003</v>
      </c>
    </row>
    <row r="656" spans="1:15" x14ac:dyDescent="0.3">
      <c r="A656">
        <v>655</v>
      </c>
      <c r="B656" s="1">
        <v>45712</v>
      </c>
      <c r="C656" t="s">
        <v>20</v>
      </c>
      <c r="D656" t="s">
        <v>18</v>
      </c>
      <c r="E656">
        <v>480</v>
      </c>
      <c r="F656">
        <v>37</v>
      </c>
      <c r="G656">
        <v>1919</v>
      </c>
      <c r="H656">
        <v>1867</v>
      </c>
      <c r="I656">
        <v>52</v>
      </c>
      <c r="J656">
        <v>13.2</v>
      </c>
      <c r="K656">
        <v>443</v>
      </c>
      <c r="L656">
        <v>0.92291666666666672</v>
      </c>
      <c r="M656">
        <v>0.95300225733634314</v>
      </c>
      <c r="N656">
        <v>0.97290255341323606</v>
      </c>
      <c r="O656">
        <v>0.8557083333333334</v>
      </c>
    </row>
    <row r="657" spans="1:15" x14ac:dyDescent="0.3">
      <c r="A657">
        <v>656</v>
      </c>
      <c r="B657" s="1">
        <v>45712</v>
      </c>
      <c r="C657" t="s">
        <v>20</v>
      </c>
      <c r="D657" t="s">
        <v>19</v>
      </c>
      <c r="E657">
        <v>480</v>
      </c>
      <c r="F657">
        <v>11</v>
      </c>
      <c r="G657">
        <v>1555</v>
      </c>
      <c r="H657">
        <v>1493</v>
      </c>
      <c r="I657">
        <v>62</v>
      </c>
      <c r="J657">
        <v>13.8</v>
      </c>
      <c r="K657">
        <v>469</v>
      </c>
      <c r="L657">
        <v>0.9770833333333333</v>
      </c>
      <c r="M657">
        <v>0.76257995735607675</v>
      </c>
      <c r="N657">
        <v>0.96012861736334409</v>
      </c>
      <c r="O657">
        <v>0.71539583333333334</v>
      </c>
    </row>
    <row r="658" spans="1:15" x14ac:dyDescent="0.3">
      <c r="A658">
        <v>657</v>
      </c>
      <c r="B658" s="1">
        <v>45712</v>
      </c>
      <c r="C658" t="s">
        <v>21</v>
      </c>
      <c r="D658" t="s">
        <v>16</v>
      </c>
      <c r="E658">
        <v>480</v>
      </c>
      <c r="F658">
        <v>7</v>
      </c>
      <c r="G658">
        <v>1935</v>
      </c>
      <c r="H658">
        <v>1907</v>
      </c>
      <c r="I658">
        <v>28</v>
      </c>
      <c r="J658">
        <v>12</v>
      </c>
      <c r="K658">
        <v>473</v>
      </c>
      <c r="L658">
        <v>0.98541666666666672</v>
      </c>
      <c r="M658">
        <v>0.81818181818181823</v>
      </c>
      <c r="N658">
        <v>0.98552971576227388</v>
      </c>
      <c r="O658">
        <v>0.79458333333333342</v>
      </c>
    </row>
    <row r="659" spans="1:15" x14ac:dyDescent="0.3">
      <c r="A659">
        <v>658</v>
      </c>
      <c r="B659" s="1">
        <v>45712</v>
      </c>
      <c r="C659" t="s">
        <v>21</v>
      </c>
      <c r="D659" t="s">
        <v>17</v>
      </c>
      <c r="E659">
        <v>480</v>
      </c>
      <c r="F659">
        <v>5</v>
      </c>
      <c r="G659">
        <v>1856</v>
      </c>
      <c r="H659">
        <v>1752</v>
      </c>
      <c r="I659">
        <v>104</v>
      </c>
      <c r="J659">
        <v>12.6</v>
      </c>
      <c r="K659">
        <v>475</v>
      </c>
      <c r="L659">
        <v>0.98958333333333337</v>
      </c>
      <c r="M659">
        <v>0.82054736842105258</v>
      </c>
      <c r="N659">
        <v>0.94396551724137934</v>
      </c>
      <c r="O659">
        <v>0.76649999999999996</v>
      </c>
    </row>
    <row r="660" spans="1:15" x14ac:dyDescent="0.3">
      <c r="A660">
        <v>659</v>
      </c>
      <c r="B660" s="1">
        <v>45712</v>
      </c>
      <c r="C660" t="s">
        <v>21</v>
      </c>
      <c r="D660" t="s">
        <v>18</v>
      </c>
      <c r="E660">
        <v>480</v>
      </c>
      <c r="F660">
        <v>0</v>
      </c>
      <c r="G660">
        <v>2121</v>
      </c>
      <c r="H660">
        <v>2078</v>
      </c>
      <c r="I660">
        <v>43</v>
      </c>
      <c r="J660">
        <v>13.2</v>
      </c>
      <c r="K660">
        <v>480</v>
      </c>
      <c r="L660">
        <v>1</v>
      </c>
      <c r="M660">
        <v>0.97212499999999991</v>
      </c>
      <c r="N660">
        <v>0.97972654408297977</v>
      </c>
      <c r="O660">
        <v>0.95241666666666658</v>
      </c>
    </row>
    <row r="661" spans="1:15" x14ac:dyDescent="0.3">
      <c r="A661">
        <v>660</v>
      </c>
      <c r="B661" s="1">
        <v>45712</v>
      </c>
      <c r="C661" t="s">
        <v>21</v>
      </c>
      <c r="D661" t="s">
        <v>19</v>
      </c>
      <c r="E661">
        <v>480</v>
      </c>
      <c r="F661">
        <v>136</v>
      </c>
      <c r="G661">
        <v>1383</v>
      </c>
      <c r="H661">
        <v>1346</v>
      </c>
      <c r="I661">
        <v>37</v>
      </c>
      <c r="J661">
        <v>13.8</v>
      </c>
      <c r="K661">
        <v>344</v>
      </c>
      <c r="L661">
        <v>0.71666666666666667</v>
      </c>
      <c r="M661">
        <v>0.92468023255813958</v>
      </c>
      <c r="N661">
        <v>0.9732465654374548</v>
      </c>
      <c r="O661">
        <v>0.6449583333333333</v>
      </c>
    </row>
    <row r="662" spans="1:15" x14ac:dyDescent="0.3">
      <c r="A662">
        <v>661</v>
      </c>
      <c r="B662" s="1">
        <v>45713</v>
      </c>
      <c r="C662" t="s">
        <v>15</v>
      </c>
      <c r="D662" t="s">
        <v>16</v>
      </c>
      <c r="E662">
        <v>480</v>
      </c>
      <c r="F662">
        <v>248</v>
      </c>
      <c r="G662">
        <v>988</v>
      </c>
      <c r="H662">
        <v>954</v>
      </c>
      <c r="I662">
        <v>34</v>
      </c>
      <c r="J662">
        <v>12</v>
      </c>
      <c r="K662">
        <v>232</v>
      </c>
      <c r="L662">
        <v>0.48333333333333334</v>
      </c>
      <c r="M662">
        <v>0.85172413793103452</v>
      </c>
      <c r="N662">
        <v>0.96558704453441291</v>
      </c>
      <c r="O662">
        <v>0.39750000000000002</v>
      </c>
    </row>
    <row r="663" spans="1:15" x14ac:dyDescent="0.3">
      <c r="A663">
        <v>662</v>
      </c>
      <c r="B663" s="1">
        <v>45713</v>
      </c>
      <c r="C663" t="s">
        <v>15</v>
      </c>
      <c r="D663" t="s">
        <v>17</v>
      </c>
      <c r="E663">
        <v>480</v>
      </c>
      <c r="F663">
        <v>50</v>
      </c>
      <c r="G663">
        <v>1935</v>
      </c>
      <c r="H663">
        <v>1881</v>
      </c>
      <c r="I663">
        <v>54</v>
      </c>
      <c r="J663">
        <v>12.6</v>
      </c>
      <c r="K663">
        <v>430</v>
      </c>
      <c r="L663">
        <v>0.89583333333333337</v>
      </c>
      <c r="M663">
        <v>0.94499999999999995</v>
      </c>
      <c r="N663">
        <v>0.97209302325581393</v>
      </c>
      <c r="O663">
        <v>0.82293749999999999</v>
      </c>
    </row>
    <row r="664" spans="1:15" x14ac:dyDescent="0.3">
      <c r="A664">
        <v>663</v>
      </c>
      <c r="B664" s="1">
        <v>45713</v>
      </c>
      <c r="C664" t="s">
        <v>15</v>
      </c>
      <c r="D664" t="s">
        <v>18</v>
      </c>
      <c r="E664">
        <v>480</v>
      </c>
      <c r="F664">
        <v>97</v>
      </c>
      <c r="G664">
        <v>1605</v>
      </c>
      <c r="H664">
        <v>1551</v>
      </c>
      <c r="I664">
        <v>54</v>
      </c>
      <c r="J664">
        <v>13.2</v>
      </c>
      <c r="K664">
        <v>383</v>
      </c>
      <c r="L664">
        <v>0.79791666666666672</v>
      </c>
      <c r="M664">
        <v>0.92193211488250648</v>
      </c>
      <c r="N664">
        <v>0.96635514018691593</v>
      </c>
      <c r="O664">
        <v>0.71087500000000003</v>
      </c>
    </row>
    <row r="665" spans="1:15" x14ac:dyDescent="0.3">
      <c r="A665">
        <v>664</v>
      </c>
      <c r="B665" s="1">
        <v>45713</v>
      </c>
      <c r="C665" t="s">
        <v>15</v>
      </c>
      <c r="D665" t="s">
        <v>19</v>
      </c>
      <c r="E665">
        <v>480</v>
      </c>
      <c r="F665">
        <v>0</v>
      </c>
      <c r="G665">
        <v>2029</v>
      </c>
      <c r="H665">
        <v>1937</v>
      </c>
      <c r="I665">
        <v>92</v>
      </c>
      <c r="J665">
        <v>13.8</v>
      </c>
      <c r="K665">
        <v>480</v>
      </c>
      <c r="L665">
        <v>1</v>
      </c>
      <c r="M665">
        <v>0.9722291666666667</v>
      </c>
      <c r="N665">
        <v>0.9546574667323805</v>
      </c>
      <c r="O665">
        <v>0.92814583333333334</v>
      </c>
    </row>
    <row r="666" spans="1:15" x14ac:dyDescent="0.3">
      <c r="A666">
        <v>665</v>
      </c>
      <c r="B666" s="1">
        <v>45713</v>
      </c>
      <c r="C666" t="s">
        <v>20</v>
      </c>
      <c r="D666" t="s">
        <v>16</v>
      </c>
      <c r="E666">
        <v>480</v>
      </c>
      <c r="F666">
        <v>26</v>
      </c>
      <c r="G666">
        <v>1935</v>
      </c>
      <c r="H666">
        <v>1904</v>
      </c>
      <c r="I666">
        <v>31</v>
      </c>
      <c r="J666">
        <v>12</v>
      </c>
      <c r="K666">
        <v>454</v>
      </c>
      <c r="L666">
        <v>0.9458333333333333</v>
      </c>
      <c r="M666">
        <v>0.85242290748898675</v>
      </c>
      <c r="N666">
        <v>0.9839793281653747</v>
      </c>
      <c r="O666">
        <v>0.79333333333333322</v>
      </c>
    </row>
    <row r="667" spans="1:15" x14ac:dyDescent="0.3">
      <c r="A667">
        <v>666</v>
      </c>
      <c r="B667" s="1">
        <v>45713</v>
      </c>
      <c r="C667" t="s">
        <v>20</v>
      </c>
      <c r="D667" t="s">
        <v>17</v>
      </c>
      <c r="E667">
        <v>480</v>
      </c>
      <c r="F667">
        <v>0</v>
      </c>
      <c r="G667">
        <v>1714</v>
      </c>
      <c r="H667">
        <v>1694</v>
      </c>
      <c r="I667">
        <v>20</v>
      </c>
      <c r="J667">
        <v>12.6</v>
      </c>
      <c r="K667">
        <v>480</v>
      </c>
      <c r="L667">
        <v>1</v>
      </c>
      <c r="M667">
        <v>0.74987499999999996</v>
      </c>
      <c r="N667">
        <v>0.98833138856476077</v>
      </c>
      <c r="O667">
        <v>0.74112499999999992</v>
      </c>
    </row>
    <row r="668" spans="1:15" x14ac:dyDescent="0.3">
      <c r="A668">
        <v>667</v>
      </c>
      <c r="B668" s="1">
        <v>45713</v>
      </c>
      <c r="C668" t="s">
        <v>20</v>
      </c>
      <c r="D668" t="s">
        <v>18</v>
      </c>
      <c r="E668">
        <v>480</v>
      </c>
      <c r="F668">
        <v>69</v>
      </c>
      <c r="G668">
        <v>1659</v>
      </c>
      <c r="H668">
        <v>1582</v>
      </c>
      <c r="I668">
        <v>77</v>
      </c>
      <c r="J668">
        <v>13.2</v>
      </c>
      <c r="K668">
        <v>411</v>
      </c>
      <c r="L668">
        <v>0.85624999999999996</v>
      </c>
      <c r="M668">
        <v>0.88802919708029193</v>
      </c>
      <c r="N668">
        <v>0.95358649789029537</v>
      </c>
      <c r="O668">
        <v>0.7250833333333333</v>
      </c>
    </row>
    <row r="669" spans="1:15" x14ac:dyDescent="0.3">
      <c r="A669">
        <v>668</v>
      </c>
      <c r="B669" s="1">
        <v>45713</v>
      </c>
      <c r="C669" t="s">
        <v>20</v>
      </c>
      <c r="D669" t="s">
        <v>19</v>
      </c>
      <c r="E669">
        <v>480</v>
      </c>
      <c r="F669">
        <v>86</v>
      </c>
      <c r="G669">
        <v>1520</v>
      </c>
      <c r="H669">
        <v>1475</v>
      </c>
      <c r="I669">
        <v>45</v>
      </c>
      <c r="J669">
        <v>13.8</v>
      </c>
      <c r="K669">
        <v>394</v>
      </c>
      <c r="L669">
        <v>0.8208333333333333</v>
      </c>
      <c r="M669">
        <v>0.8873096446700508</v>
      </c>
      <c r="N669">
        <v>0.97039473684210531</v>
      </c>
      <c r="O669">
        <v>0.70677083333333346</v>
      </c>
    </row>
    <row r="670" spans="1:15" x14ac:dyDescent="0.3">
      <c r="A670">
        <v>669</v>
      </c>
      <c r="B670" s="1">
        <v>45713</v>
      </c>
      <c r="C670" t="s">
        <v>21</v>
      </c>
      <c r="D670" t="s">
        <v>16</v>
      </c>
      <c r="E670">
        <v>480</v>
      </c>
      <c r="F670">
        <v>33</v>
      </c>
      <c r="G670">
        <v>1769</v>
      </c>
      <c r="H670">
        <v>1714</v>
      </c>
      <c r="I670">
        <v>55</v>
      </c>
      <c r="J670">
        <v>12</v>
      </c>
      <c r="K670">
        <v>447</v>
      </c>
      <c r="L670">
        <v>0.93125000000000002</v>
      </c>
      <c r="M670">
        <v>0.79149888143176739</v>
      </c>
      <c r="N670">
        <v>0.96890898812888637</v>
      </c>
      <c r="O670">
        <v>0.71416666666666673</v>
      </c>
    </row>
    <row r="671" spans="1:15" x14ac:dyDescent="0.3">
      <c r="A671">
        <v>670</v>
      </c>
      <c r="B671" s="1">
        <v>45713</v>
      </c>
      <c r="C671" t="s">
        <v>21</v>
      </c>
      <c r="D671" t="s">
        <v>17</v>
      </c>
      <c r="E671">
        <v>480</v>
      </c>
      <c r="F671">
        <v>0</v>
      </c>
      <c r="G671">
        <v>2085</v>
      </c>
      <c r="H671">
        <v>2009</v>
      </c>
      <c r="I671">
        <v>76</v>
      </c>
      <c r="J671">
        <v>12.6</v>
      </c>
      <c r="K671">
        <v>480</v>
      </c>
      <c r="L671">
        <v>1</v>
      </c>
      <c r="M671">
        <v>0.91218750000000004</v>
      </c>
      <c r="N671">
        <v>0.96354916067146279</v>
      </c>
      <c r="O671">
        <v>0.87893750000000004</v>
      </c>
    </row>
    <row r="672" spans="1:15" x14ac:dyDescent="0.3">
      <c r="A672">
        <v>671</v>
      </c>
      <c r="B672" s="1">
        <v>45713</v>
      </c>
      <c r="C672" t="s">
        <v>21</v>
      </c>
      <c r="D672" t="s">
        <v>18</v>
      </c>
      <c r="E672">
        <v>480</v>
      </c>
      <c r="F672">
        <v>5</v>
      </c>
      <c r="G672">
        <v>1779</v>
      </c>
      <c r="H672">
        <v>1712</v>
      </c>
      <c r="I672">
        <v>67</v>
      </c>
      <c r="J672">
        <v>13.2</v>
      </c>
      <c r="K672">
        <v>475</v>
      </c>
      <c r="L672">
        <v>0.98958333333333337</v>
      </c>
      <c r="M672">
        <v>0.82395789473684211</v>
      </c>
      <c r="N672">
        <v>0.96233839235525576</v>
      </c>
      <c r="O672">
        <v>0.78466666666666673</v>
      </c>
    </row>
    <row r="673" spans="1:15" x14ac:dyDescent="0.3">
      <c r="A673">
        <v>672</v>
      </c>
      <c r="B673" s="1">
        <v>45713</v>
      </c>
      <c r="C673" t="s">
        <v>21</v>
      </c>
      <c r="D673" t="s">
        <v>19</v>
      </c>
      <c r="E673">
        <v>480</v>
      </c>
      <c r="F673">
        <v>88</v>
      </c>
      <c r="G673">
        <v>1499</v>
      </c>
      <c r="H673">
        <v>1439</v>
      </c>
      <c r="I673">
        <v>60</v>
      </c>
      <c r="J673">
        <v>13.8</v>
      </c>
      <c r="K673">
        <v>392</v>
      </c>
      <c r="L673">
        <v>0.81666666666666665</v>
      </c>
      <c r="M673">
        <v>0.87951530612244899</v>
      </c>
      <c r="N673">
        <v>0.9599733155436958</v>
      </c>
      <c r="O673">
        <v>0.68952083333333336</v>
      </c>
    </row>
    <row r="674" spans="1:15" x14ac:dyDescent="0.3">
      <c r="A674">
        <v>673</v>
      </c>
      <c r="B674" s="1">
        <v>45714</v>
      </c>
      <c r="C674" t="s">
        <v>15</v>
      </c>
      <c r="D674" t="s">
        <v>16</v>
      </c>
      <c r="E674">
        <v>480</v>
      </c>
      <c r="F674">
        <v>0</v>
      </c>
      <c r="G674">
        <v>2009</v>
      </c>
      <c r="H674">
        <v>1927</v>
      </c>
      <c r="I674">
        <v>82</v>
      </c>
      <c r="J674">
        <v>12</v>
      </c>
      <c r="K674">
        <v>480</v>
      </c>
      <c r="L674">
        <v>1</v>
      </c>
      <c r="M674">
        <v>0.83708333333333329</v>
      </c>
      <c r="N674">
        <v>0.95918367346938771</v>
      </c>
      <c r="O674">
        <v>0.80291666666666661</v>
      </c>
    </row>
    <row r="675" spans="1:15" x14ac:dyDescent="0.3">
      <c r="A675">
        <v>674</v>
      </c>
      <c r="B675" s="1">
        <v>45714</v>
      </c>
      <c r="C675" t="s">
        <v>15</v>
      </c>
      <c r="D675" t="s">
        <v>17</v>
      </c>
      <c r="E675">
        <v>480</v>
      </c>
      <c r="F675">
        <v>67</v>
      </c>
      <c r="G675">
        <v>1513</v>
      </c>
      <c r="H675">
        <v>1465</v>
      </c>
      <c r="I675">
        <v>48</v>
      </c>
      <c r="J675">
        <v>12.6</v>
      </c>
      <c r="K675">
        <v>413</v>
      </c>
      <c r="L675">
        <v>0.86041666666666672</v>
      </c>
      <c r="M675">
        <v>0.769322033898305</v>
      </c>
      <c r="N675">
        <v>0.96827495042961009</v>
      </c>
      <c r="O675">
        <v>0.64093749999999994</v>
      </c>
    </row>
    <row r="676" spans="1:15" x14ac:dyDescent="0.3">
      <c r="A676">
        <v>675</v>
      </c>
      <c r="B676" s="1">
        <v>45714</v>
      </c>
      <c r="C676" t="s">
        <v>15</v>
      </c>
      <c r="D676" t="s">
        <v>18</v>
      </c>
      <c r="E676">
        <v>480</v>
      </c>
      <c r="F676">
        <v>161</v>
      </c>
      <c r="G676">
        <v>1255</v>
      </c>
      <c r="H676">
        <v>1222</v>
      </c>
      <c r="I676">
        <v>33</v>
      </c>
      <c r="J676">
        <v>13.2</v>
      </c>
      <c r="K676">
        <v>319</v>
      </c>
      <c r="L676">
        <v>0.6645833333333333</v>
      </c>
      <c r="M676">
        <v>0.8655172413793103</v>
      </c>
      <c r="N676">
        <v>0.97370517928286848</v>
      </c>
      <c r="O676">
        <v>0.56008333333333327</v>
      </c>
    </row>
    <row r="677" spans="1:15" x14ac:dyDescent="0.3">
      <c r="A677">
        <v>676</v>
      </c>
      <c r="B677" s="1">
        <v>45714</v>
      </c>
      <c r="C677" t="s">
        <v>15</v>
      </c>
      <c r="D677" t="s">
        <v>19</v>
      </c>
      <c r="E677">
        <v>480</v>
      </c>
      <c r="F677">
        <v>8</v>
      </c>
      <c r="G677">
        <v>1973</v>
      </c>
      <c r="H677">
        <v>1953</v>
      </c>
      <c r="I677">
        <v>20</v>
      </c>
      <c r="J677">
        <v>13.8</v>
      </c>
      <c r="K677">
        <v>472</v>
      </c>
      <c r="L677">
        <v>0.98333333333333328</v>
      </c>
      <c r="M677">
        <v>0.96141949152542383</v>
      </c>
      <c r="N677">
        <v>0.98986315255955393</v>
      </c>
      <c r="O677">
        <v>0.93581250000000005</v>
      </c>
    </row>
    <row r="678" spans="1:15" x14ac:dyDescent="0.3">
      <c r="A678">
        <v>677</v>
      </c>
      <c r="B678" s="1">
        <v>45714</v>
      </c>
      <c r="C678" t="s">
        <v>20</v>
      </c>
      <c r="D678" t="s">
        <v>16</v>
      </c>
      <c r="E678">
        <v>480</v>
      </c>
      <c r="F678">
        <v>180</v>
      </c>
      <c r="G678">
        <v>1206</v>
      </c>
      <c r="H678">
        <v>1165</v>
      </c>
      <c r="I678">
        <v>41</v>
      </c>
      <c r="J678">
        <v>12</v>
      </c>
      <c r="K678">
        <v>300</v>
      </c>
      <c r="L678">
        <v>0.625</v>
      </c>
      <c r="M678">
        <v>0.80400000000000005</v>
      </c>
      <c r="N678">
        <v>0.96600331674958539</v>
      </c>
      <c r="O678">
        <v>0.48541666666666672</v>
      </c>
    </row>
    <row r="679" spans="1:15" x14ac:dyDescent="0.3">
      <c r="A679">
        <v>678</v>
      </c>
      <c r="B679" s="1">
        <v>45714</v>
      </c>
      <c r="C679" t="s">
        <v>20</v>
      </c>
      <c r="D679" t="s">
        <v>17</v>
      </c>
      <c r="E679">
        <v>480</v>
      </c>
      <c r="F679">
        <v>81</v>
      </c>
      <c r="G679">
        <v>1529</v>
      </c>
      <c r="H679">
        <v>1499</v>
      </c>
      <c r="I679">
        <v>30</v>
      </c>
      <c r="J679">
        <v>12.6</v>
      </c>
      <c r="K679">
        <v>399</v>
      </c>
      <c r="L679">
        <v>0.83125000000000004</v>
      </c>
      <c r="M679">
        <v>0.80473684210526308</v>
      </c>
      <c r="N679">
        <v>0.98037933289731849</v>
      </c>
      <c r="O679">
        <v>0.65581249999999991</v>
      </c>
    </row>
    <row r="680" spans="1:15" x14ac:dyDescent="0.3">
      <c r="A680">
        <v>679</v>
      </c>
      <c r="B680" s="1">
        <v>45714</v>
      </c>
      <c r="C680" t="s">
        <v>20</v>
      </c>
      <c r="D680" t="s">
        <v>18</v>
      </c>
      <c r="E680">
        <v>480</v>
      </c>
      <c r="F680">
        <v>10</v>
      </c>
      <c r="G680">
        <v>2012</v>
      </c>
      <c r="H680">
        <v>1981</v>
      </c>
      <c r="I680">
        <v>31</v>
      </c>
      <c r="J680">
        <v>13.2</v>
      </c>
      <c r="K680">
        <v>470</v>
      </c>
      <c r="L680">
        <v>0.97916666666666663</v>
      </c>
      <c r="M680">
        <v>0.94178723404255316</v>
      </c>
      <c r="N680">
        <v>0.98459244532803181</v>
      </c>
      <c r="O680">
        <v>0.9079583333333332</v>
      </c>
    </row>
    <row r="681" spans="1:15" x14ac:dyDescent="0.3">
      <c r="A681">
        <v>680</v>
      </c>
      <c r="B681" s="1">
        <v>45714</v>
      </c>
      <c r="C681" t="s">
        <v>20</v>
      </c>
      <c r="D681" t="s">
        <v>19</v>
      </c>
      <c r="E681">
        <v>480</v>
      </c>
      <c r="F681">
        <v>0</v>
      </c>
      <c r="G681">
        <v>1775</v>
      </c>
      <c r="H681">
        <v>1683</v>
      </c>
      <c r="I681">
        <v>92</v>
      </c>
      <c r="J681">
        <v>13.8</v>
      </c>
      <c r="K681">
        <v>480</v>
      </c>
      <c r="L681">
        <v>1</v>
      </c>
      <c r="M681">
        <v>0.85052083333333328</v>
      </c>
      <c r="N681">
        <v>0.94816901408450704</v>
      </c>
      <c r="O681">
        <v>0.80643749999999992</v>
      </c>
    </row>
    <row r="682" spans="1:15" x14ac:dyDescent="0.3">
      <c r="A682">
        <v>681</v>
      </c>
      <c r="B682" s="1">
        <v>45714</v>
      </c>
      <c r="C682" t="s">
        <v>21</v>
      </c>
      <c r="D682" t="s">
        <v>16</v>
      </c>
      <c r="E682">
        <v>480</v>
      </c>
      <c r="F682">
        <v>26</v>
      </c>
      <c r="G682">
        <v>2004</v>
      </c>
      <c r="H682">
        <v>1927</v>
      </c>
      <c r="I682">
        <v>77</v>
      </c>
      <c r="J682">
        <v>12</v>
      </c>
      <c r="K682">
        <v>454</v>
      </c>
      <c r="L682">
        <v>0.9458333333333333</v>
      </c>
      <c r="M682">
        <v>0.88281938325991194</v>
      </c>
      <c r="N682">
        <v>0.96157684630738527</v>
      </c>
      <c r="O682">
        <v>0.80291666666666661</v>
      </c>
    </row>
    <row r="683" spans="1:15" x14ac:dyDescent="0.3">
      <c r="A683">
        <v>682</v>
      </c>
      <c r="B683" s="1">
        <v>45714</v>
      </c>
      <c r="C683" t="s">
        <v>21</v>
      </c>
      <c r="D683" t="s">
        <v>17</v>
      </c>
      <c r="E683">
        <v>480</v>
      </c>
      <c r="F683">
        <v>20</v>
      </c>
      <c r="G683">
        <v>1692</v>
      </c>
      <c r="H683">
        <v>1611</v>
      </c>
      <c r="I683">
        <v>81</v>
      </c>
      <c r="J683">
        <v>12.6</v>
      </c>
      <c r="K683">
        <v>460</v>
      </c>
      <c r="L683">
        <v>0.95833333333333337</v>
      </c>
      <c r="M683">
        <v>0.77243478260869569</v>
      </c>
      <c r="N683">
        <v>0.9521276595744681</v>
      </c>
      <c r="O683">
        <v>0.70481250000000006</v>
      </c>
    </row>
    <row r="684" spans="1:15" x14ac:dyDescent="0.3">
      <c r="A684">
        <v>683</v>
      </c>
      <c r="B684" s="1">
        <v>45714</v>
      </c>
      <c r="C684" t="s">
        <v>21</v>
      </c>
      <c r="D684" t="s">
        <v>18</v>
      </c>
      <c r="E684">
        <v>480</v>
      </c>
      <c r="F684">
        <v>116</v>
      </c>
      <c r="G684">
        <v>1473</v>
      </c>
      <c r="H684">
        <v>1419</v>
      </c>
      <c r="I684">
        <v>54</v>
      </c>
      <c r="J684">
        <v>13.2</v>
      </c>
      <c r="K684">
        <v>364</v>
      </c>
      <c r="L684">
        <v>0.7583333333333333</v>
      </c>
      <c r="M684">
        <v>0.89027472527472518</v>
      </c>
      <c r="N684">
        <v>0.96334012219959264</v>
      </c>
      <c r="O684">
        <v>0.65037499999999981</v>
      </c>
    </row>
    <row r="685" spans="1:15" x14ac:dyDescent="0.3">
      <c r="A685">
        <v>684</v>
      </c>
      <c r="B685" s="1">
        <v>45714</v>
      </c>
      <c r="C685" t="s">
        <v>21</v>
      </c>
      <c r="D685" t="s">
        <v>19</v>
      </c>
      <c r="E685">
        <v>480</v>
      </c>
      <c r="F685">
        <v>20</v>
      </c>
      <c r="G685">
        <v>1736</v>
      </c>
      <c r="H685">
        <v>1710</v>
      </c>
      <c r="I685">
        <v>26</v>
      </c>
      <c r="J685">
        <v>13.8</v>
      </c>
      <c r="K685">
        <v>460</v>
      </c>
      <c r="L685">
        <v>0.95833333333333337</v>
      </c>
      <c r="M685">
        <v>0.8680000000000001</v>
      </c>
      <c r="N685">
        <v>0.98502304147465436</v>
      </c>
      <c r="O685">
        <v>0.81937500000000008</v>
      </c>
    </row>
    <row r="686" spans="1:15" x14ac:dyDescent="0.3">
      <c r="A686">
        <v>685</v>
      </c>
      <c r="B686" s="1">
        <v>45715</v>
      </c>
      <c r="C686" t="s">
        <v>15</v>
      </c>
      <c r="D686" t="s">
        <v>16</v>
      </c>
      <c r="E686">
        <v>480</v>
      </c>
      <c r="F686">
        <v>0</v>
      </c>
      <c r="G686">
        <v>2331</v>
      </c>
      <c r="H686">
        <v>2264</v>
      </c>
      <c r="I686">
        <v>67</v>
      </c>
      <c r="J686">
        <v>12</v>
      </c>
      <c r="K686">
        <v>480</v>
      </c>
      <c r="L686">
        <v>1</v>
      </c>
      <c r="M686">
        <v>0.97124999999999995</v>
      </c>
      <c r="N686">
        <v>0.9712569712569713</v>
      </c>
      <c r="O686">
        <v>0.94333333333333336</v>
      </c>
    </row>
    <row r="687" spans="1:15" x14ac:dyDescent="0.3">
      <c r="A687">
        <v>686</v>
      </c>
      <c r="B687" s="1">
        <v>45715</v>
      </c>
      <c r="C687" t="s">
        <v>15</v>
      </c>
      <c r="D687" t="s">
        <v>17</v>
      </c>
      <c r="E687">
        <v>480</v>
      </c>
      <c r="F687">
        <v>80</v>
      </c>
      <c r="G687">
        <v>1680</v>
      </c>
      <c r="H687">
        <v>1653</v>
      </c>
      <c r="I687">
        <v>27</v>
      </c>
      <c r="J687">
        <v>12.6</v>
      </c>
      <c r="K687">
        <v>400</v>
      </c>
      <c r="L687">
        <v>0.83333333333333337</v>
      </c>
      <c r="M687">
        <v>0.88200000000000001</v>
      </c>
      <c r="N687">
        <v>0.98392857142857137</v>
      </c>
      <c r="O687">
        <v>0.72318749999999998</v>
      </c>
    </row>
    <row r="688" spans="1:15" x14ac:dyDescent="0.3">
      <c r="A688">
        <v>687</v>
      </c>
      <c r="B688" s="1">
        <v>45715</v>
      </c>
      <c r="C688" t="s">
        <v>15</v>
      </c>
      <c r="D688" t="s">
        <v>18</v>
      </c>
      <c r="E688">
        <v>480</v>
      </c>
      <c r="F688">
        <v>50</v>
      </c>
      <c r="G688">
        <v>1524</v>
      </c>
      <c r="H688">
        <v>1486</v>
      </c>
      <c r="I688">
        <v>38</v>
      </c>
      <c r="J688">
        <v>13.2</v>
      </c>
      <c r="K688">
        <v>430</v>
      </c>
      <c r="L688">
        <v>0.89583333333333337</v>
      </c>
      <c r="M688">
        <v>0.77972093023255806</v>
      </c>
      <c r="N688">
        <v>0.97506561679790027</v>
      </c>
      <c r="O688">
        <v>0.68108333333333337</v>
      </c>
    </row>
    <row r="689" spans="1:15" x14ac:dyDescent="0.3">
      <c r="A689">
        <v>688</v>
      </c>
      <c r="B689" s="1">
        <v>45715</v>
      </c>
      <c r="C689" t="s">
        <v>15</v>
      </c>
      <c r="D689" t="s">
        <v>19</v>
      </c>
      <c r="E689">
        <v>480</v>
      </c>
      <c r="F689">
        <v>0</v>
      </c>
      <c r="G689">
        <v>2001</v>
      </c>
      <c r="H689">
        <v>1905</v>
      </c>
      <c r="I689">
        <v>96</v>
      </c>
      <c r="J689">
        <v>13.8</v>
      </c>
      <c r="K689">
        <v>480</v>
      </c>
      <c r="L689">
        <v>1</v>
      </c>
      <c r="M689">
        <v>0.95881250000000007</v>
      </c>
      <c r="N689">
        <v>0.95202398800599697</v>
      </c>
      <c r="O689">
        <v>0.91281250000000003</v>
      </c>
    </row>
    <row r="690" spans="1:15" x14ac:dyDescent="0.3">
      <c r="A690">
        <v>689</v>
      </c>
      <c r="B690" s="1">
        <v>45715</v>
      </c>
      <c r="C690" t="s">
        <v>20</v>
      </c>
      <c r="D690" t="s">
        <v>16</v>
      </c>
      <c r="E690">
        <v>480</v>
      </c>
      <c r="F690">
        <v>63</v>
      </c>
      <c r="G690">
        <v>1791</v>
      </c>
      <c r="H690">
        <v>1753</v>
      </c>
      <c r="I690">
        <v>38</v>
      </c>
      <c r="J690">
        <v>12</v>
      </c>
      <c r="K690">
        <v>417</v>
      </c>
      <c r="L690">
        <v>0.86875000000000002</v>
      </c>
      <c r="M690">
        <v>0.85899280575539572</v>
      </c>
      <c r="N690">
        <v>0.97878280290340591</v>
      </c>
      <c r="O690">
        <v>0.73041666666666671</v>
      </c>
    </row>
    <row r="691" spans="1:15" x14ac:dyDescent="0.3">
      <c r="A691">
        <v>690</v>
      </c>
      <c r="B691" s="1">
        <v>45715</v>
      </c>
      <c r="C691" t="s">
        <v>20</v>
      </c>
      <c r="D691" t="s">
        <v>17</v>
      </c>
      <c r="E691">
        <v>480</v>
      </c>
      <c r="F691">
        <v>28</v>
      </c>
      <c r="G691">
        <v>1687</v>
      </c>
      <c r="H691">
        <v>1588</v>
      </c>
      <c r="I691">
        <v>99</v>
      </c>
      <c r="J691">
        <v>12.6</v>
      </c>
      <c r="K691">
        <v>452</v>
      </c>
      <c r="L691">
        <v>0.94166666666666665</v>
      </c>
      <c r="M691">
        <v>0.78378318584070794</v>
      </c>
      <c r="N691">
        <v>0.94131594546532305</v>
      </c>
      <c r="O691">
        <v>0.69474999999999998</v>
      </c>
    </row>
    <row r="692" spans="1:15" x14ac:dyDescent="0.3">
      <c r="A692">
        <v>691</v>
      </c>
      <c r="B692" s="1">
        <v>45715</v>
      </c>
      <c r="C692" t="s">
        <v>20</v>
      </c>
      <c r="D692" t="s">
        <v>18</v>
      </c>
      <c r="E692">
        <v>480</v>
      </c>
      <c r="F692">
        <v>0</v>
      </c>
      <c r="G692">
        <v>1701</v>
      </c>
      <c r="H692">
        <v>1667</v>
      </c>
      <c r="I692">
        <v>34</v>
      </c>
      <c r="J692">
        <v>13.2</v>
      </c>
      <c r="K692">
        <v>480</v>
      </c>
      <c r="L692">
        <v>1</v>
      </c>
      <c r="M692">
        <v>0.7796249999999999</v>
      </c>
      <c r="N692">
        <v>0.98001175778953553</v>
      </c>
      <c r="O692">
        <v>0.76404166666666651</v>
      </c>
    </row>
    <row r="693" spans="1:15" x14ac:dyDescent="0.3">
      <c r="A693">
        <v>692</v>
      </c>
      <c r="B693" s="1">
        <v>45715</v>
      </c>
      <c r="C693" t="s">
        <v>20</v>
      </c>
      <c r="D693" t="s">
        <v>19</v>
      </c>
      <c r="E693">
        <v>480</v>
      </c>
      <c r="F693">
        <v>38</v>
      </c>
      <c r="G693">
        <v>1832</v>
      </c>
      <c r="H693">
        <v>1806</v>
      </c>
      <c r="I693">
        <v>26</v>
      </c>
      <c r="J693">
        <v>13.8</v>
      </c>
      <c r="K693">
        <v>442</v>
      </c>
      <c r="L693">
        <v>0.92083333333333328</v>
      </c>
      <c r="M693">
        <v>0.95330316742081456</v>
      </c>
      <c r="N693">
        <v>0.98580786026200873</v>
      </c>
      <c r="O693">
        <v>0.86537500000000001</v>
      </c>
    </row>
    <row r="694" spans="1:15" x14ac:dyDescent="0.3">
      <c r="A694">
        <v>693</v>
      </c>
      <c r="B694" s="1">
        <v>45715</v>
      </c>
      <c r="C694" t="s">
        <v>21</v>
      </c>
      <c r="D694" t="s">
        <v>16</v>
      </c>
      <c r="E694">
        <v>480</v>
      </c>
      <c r="F694">
        <v>88</v>
      </c>
      <c r="G694">
        <v>1894</v>
      </c>
      <c r="H694">
        <v>1811</v>
      </c>
      <c r="I694">
        <v>83</v>
      </c>
      <c r="J694">
        <v>12</v>
      </c>
      <c r="K694">
        <v>392</v>
      </c>
      <c r="L694">
        <v>0.81666666666666665</v>
      </c>
      <c r="M694">
        <v>0.96632653061224494</v>
      </c>
      <c r="N694">
        <v>0.95617740232312565</v>
      </c>
      <c r="O694">
        <v>0.75458333333333338</v>
      </c>
    </row>
    <row r="695" spans="1:15" x14ac:dyDescent="0.3">
      <c r="A695">
        <v>694</v>
      </c>
      <c r="B695" s="1">
        <v>45715</v>
      </c>
      <c r="C695" t="s">
        <v>21</v>
      </c>
      <c r="D695" t="s">
        <v>17</v>
      </c>
      <c r="E695">
        <v>480</v>
      </c>
      <c r="F695">
        <v>93</v>
      </c>
      <c r="G695">
        <v>1468</v>
      </c>
      <c r="H695">
        <v>1395</v>
      </c>
      <c r="I695">
        <v>73</v>
      </c>
      <c r="J695">
        <v>12.6</v>
      </c>
      <c r="K695">
        <v>387</v>
      </c>
      <c r="L695">
        <v>0.80625000000000002</v>
      </c>
      <c r="M695">
        <v>0.79658914728682162</v>
      </c>
      <c r="N695">
        <v>0.95027247956403271</v>
      </c>
      <c r="O695">
        <v>0.61031250000000004</v>
      </c>
    </row>
    <row r="696" spans="1:15" x14ac:dyDescent="0.3">
      <c r="A696">
        <v>695</v>
      </c>
      <c r="B696" s="1">
        <v>45715</v>
      </c>
      <c r="C696" t="s">
        <v>21</v>
      </c>
      <c r="D696" t="s">
        <v>18</v>
      </c>
      <c r="E696">
        <v>480</v>
      </c>
      <c r="F696">
        <v>6</v>
      </c>
      <c r="G696">
        <v>1766</v>
      </c>
      <c r="H696">
        <v>1662</v>
      </c>
      <c r="I696">
        <v>104</v>
      </c>
      <c r="J696">
        <v>13.2</v>
      </c>
      <c r="K696">
        <v>474</v>
      </c>
      <c r="L696">
        <v>0.98750000000000004</v>
      </c>
      <c r="M696">
        <v>0.81966244725738391</v>
      </c>
      <c r="N696">
        <v>0.94110985277463188</v>
      </c>
      <c r="O696">
        <v>0.76174999999999993</v>
      </c>
    </row>
    <row r="697" spans="1:15" x14ac:dyDescent="0.3">
      <c r="A697">
        <v>696</v>
      </c>
      <c r="B697" s="1">
        <v>45715</v>
      </c>
      <c r="C697" t="s">
        <v>21</v>
      </c>
      <c r="D697" t="s">
        <v>19</v>
      </c>
      <c r="E697">
        <v>480</v>
      </c>
      <c r="F697">
        <v>27</v>
      </c>
      <c r="G697">
        <v>1624</v>
      </c>
      <c r="H697">
        <v>1547</v>
      </c>
      <c r="I697">
        <v>77</v>
      </c>
      <c r="J697">
        <v>13.8</v>
      </c>
      <c r="K697">
        <v>453</v>
      </c>
      <c r="L697">
        <v>0.94374999999999998</v>
      </c>
      <c r="M697">
        <v>0.82454746136865342</v>
      </c>
      <c r="N697">
        <v>0.95258620689655171</v>
      </c>
      <c r="O697">
        <v>0.74127083333333332</v>
      </c>
    </row>
    <row r="698" spans="1:15" x14ac:dyDescent="0.3">
      <c r="A698">
        <v>697</v>
      </c>
      <c r="B698" s="1">
        <v>45716</v>
      </c>
      <c r="C698" t="s">
        <v>15</v>
      </c>
      <c r="D698" t="s">
        <v>16</v>
      </c>
      <c r="E698">
        <v>480</v>
      </c>
      <c r="F698">
        <v>23</v>
      </c>
      <c r="G698">
        <v>1963</v>
      </c>
      <c r="H698">
        <v>1927</v>
      </c>
      <c r="I698">
        <v>36</v>
      </c>
      <c r="J698">
        <v>12</v>
      </c>
      <c r="K698">
        <v>457</v>
      </c>
      <c r="L698">
        <v>0.95208333333333328</v>
      </c>
      <c r="M698">
        <v>0.85908096280087531</v>
      </c>
      <c r="N698">
        <v>0.9816607233825777</v>
      </c>
      <c r="O698">
        <v>0.80291666666666661</v>
      </c>
    </row>
    <row r="699" spans="1:15" x14ac:dyDescent="0.3">
      <c r="A699">
        <v>698</v>
      </c>
      <c r="B699" s="1">
        <v>45716</v>
      </c>
      <c r="C699" t="s">
        <v>15</v>
      </c>
      <c r="D699" t="s">
        <v>17</v>
      </c>
      <c r="E699">
        <v>480</v>
      </c>
      <c r="F699">
        <v>39</v>
      </c>
      <c r="G699">
        <v>2002</v>
      </c>
      <c r="H699">
        <v>1967</v>
      </c>
      <c r="I699">
        <v>35</v>
      </c>
      <c r="J699">
        <v>12.6</v>
      </c>
      <c r="K699">
        <v>441</v>
      </c>
      <c r="L699">
        <v>0.91874999999999996</v>
      </c>
      <c r="M699">
        <v>0.95333333333333337</v>
      </c>
      <c r="N699">
        <v>0.9825174825174825</v>
      </c>
      <c r="O699">
        <v>0.8605624999999999</v>
      </c>
    </row>
    <row r="700" spans="1:15" x14ac:dyDescent="0.3">
      <c r="A700">
        <v>699</v>
      </c>
      <c r="B700" s="1">
        <v>45716</v>
      </c>
      <c r="C700" t="s">
        <v>15</v>
      </c>
      <c r="D700" t="s">
        <v>18</v>
      </c>
      <c r="E700">
        <v>480</v>
      </c>
      <c r="F700">
        <v>20</v>
      </c>
      <c r="G700">
        <v>1900</v>
      </c>
      <c r="H700">
        <v>1819</v>
      </c>
      <c r="I700">
        <v>81</v>
      </c>
      <c r="J700">
        <v>13.2</v>
      </c>
      <c r="K700">
        <v>460</v>
      </c>
      <c r="L700">
        <v>0.95833333333333337</v>
      </c>
      <c r="M700">
        <v>0.90869565217391302</v>
      </c>
      <c r="N700">
        <v>0.95736842105263154</v>
      </c>
      <c r="O700">
        <v>0.83370833333333327</v>
      </c>
    </row>
    <row r="701" spans="1:15" x14ac:dyDescent="0.3">
      <c r="A701">
        <v>700</v>
      </c>
      <c r="B701" s="1">
        <v>45716</v>
      </c>
      <c r="C701" t="s">
        <v>15</v>
      </c>
      <c r="D701" t="s">
        <v>19</v>
      </c>
      <c r="E701">
        <v>480</v>
      </c>
      <c r="F701">
        <v>0</v>
      </c>
      <c r="G701">
        <v>1741</v>
      </c>
      <c r="H701">
        <v>1639</v>
      </c>
      <c r="I701">
        <v>102</v>
      </c>
      <c r="J701">
        <v>13.8</v>
      </c>
      <c r="K701">
        <v>480</v>
      </c>
      <c r="L701">
        <v>1</v>
      </c>
      <c r="M701">
        <v>0.8342291666666668</v>
      </c>
      <c r="N701">
        <v>0.94141298104537618</v>
      </c>
      <c r="O701">
        <v>0.7853541666666668</v>
      </c>
    </row>
    <row r="702" spans="1:15" x14ac:dyDescent="0.3">
      <c r="A702">
        <v>701</v>
      </c>
      <c r="B702" s="1">
        <v>45716</v>
      </c>
      <c r="C702" t="s">
        <v>20</v>
      </c>
      <c r="D702" t="s">
        <v>16</v>
      </c>
      <c r="E702">
        <v>480</v>
      </c>
      <c r="F702">
        <v>31</v>
      </c>
      <c r="G702">
        <v>1984</v>
      </c>
      <c r="H702">
        <v>1886</v>
      </c>
      <c r="I702">
        <v>98</v>
      </c>
      <c r="J702">
        <v>12</v>
      </c>
      <c r="K702">
        <v>449</v>
      </c>
      <c r="L702">
        <v>0.93541666666666667</v>
      </c>
      <c r="M702">
        <v>0.88374164810690425</v>
      </c>
      <c r="N702">
        <v>0.95060483870967738</v>
      </c>
      <c r="O702">
        <v>0.78583333333333327</v>
      </c>
    </row>
    <row r="703" spans="1:15" x14ac:dyDescent="0.3">
      <c r="A703">
        <v>702</v>
      </c>
      <c r="B703" s="1">
        <v>45716</v>
      </c>
      <c r="C703" t="s">
        <v>20</v>
      </c>
      <c r="D703" t="s">
        <v>17</v>
      </c>
      <c r="E703">
        <v>480</v>
      </c>
      <c r="F703">
        <v>73</v>
      </c>
      <c r="G703">
        <v>1838</v>
      </c>
      <c r="H703">
        <v>1776</v>
      </c>
      <c r="I703">
        <v>62</v>
      </c>
      <c r="J703">
        <v>12.6</v>
      </c>
      <c r="K703">
        <v>407</v>
      </c>
      <c r="L703">
        <v>0.84791666666666665</v>
      </c>
      <c r="M703">
        <v>0.94835380835380834</v>
      </c>
      <c r="N703">
        <v>0.96626768226332971</v>
      </c>
      <c r="O703">
        <v>0.77700000000000002</v>
      </c>
    </row>
    <row r="704" spans="1:15" x14ac:dyDescent="0.3">
      <c r="A704">
        <v>703</v>
      </c>
      <c r="B704" s="1">
        <v>45716</v>
      </c>
      <c r="C704" t="s">
        <v>20</v>
      </c>
      <c r="D704" t="s">
        <v>18</v>
      </c>
      <c r="E704">
        <v>480</v>
      </c>
      <c r="F704">
        <v>0</v>
      </c>
      <c r="G704">
        <v>1912</v>
      </c>
      <c r="H704">
        <v>1853</v>
      </c>
      <c r="I704">
        <v>59</v>
      </c>
      <c r="J704">
        <v>13.2</v>
      </c>
      <c r="K704">
        <v>480</v>
      </c>
      <c r="L704">
        <v>1</v>
      </c>
      <c r="M704">
        <v>0.8763333333333333</v>
      </c>
      <c r="N704">
        <v>0.96914225941422594</v>
      </c>
      <c r="O704">
        <v>0.84929166666666667</v>
      </c>
    </row>
    <row r="705" spans="1:15" x14ac:dyDescent="0.3">
      <c r="A705">
        <v>704</v>
      </c>
      <c r="B705" s="1">
        <v>45716</v>
      </c>
      <c r="C705" t="s">
        <v>20</v>
      </c>
      <c r="D705" t="s">
        <v>19</v>
      </c>
      <c r="E705">
        <v>480</v>
      </c>
      <c r="F705">
        <v>12</v>
      </c>
      <c r="G705">
        <v>1551</v>
      </c>
      <c r="H705">
        <v>1461</v>
      </c>
      <c r="I705">
        <v>90</v>
      </c>
      <c r="J705">
        <v>13.8</v>
      </c>
      <c r="K705">
        <v>468</v>
      </c>
      <c r="L705">
        <v>0.97499999999999998</v>
      </c>
      <c r="M705">
        <v>0.76224358974358986</v>
      </c>
      <c r="N705">
        <v>0.94197292069632499</v>
      </c>
      <c r="O705">
        <v>0.70006250000000014</v>
      </c>
    </row>
    <row r="706" spans="1:15" x14ac:dyDescent="0.3">
      <c r="A706">
        <v>705</v>
      </c>
      <c r="B706" s="1">
        <v>45716</v>
      </c>
      <c r="C706" t="s">
        <v>21</v>
      </c>
      <c r="D706" t="s">
        <v>16</v>
      </c>
      <c r="E706">
        <v>480</v>
      </c>
      <c r="F706">
        <v>39</v>
      </c>
      <c r="G706">
        <v>1808</v>
      </c>
      <c r="H706">
        <v>1773</v>
      </c>
      <c r="I706">
        <v>35</v>
      </c>
      <c r="J706">
        <v>12</v>
      </c>
      <c r="K706">
        <v>441</v>
      </c>
      <c r="L706">
        <v>0.91874999999999996</v>
      </c>
      <c r="M706">
        <v>0.81995464852607713</v>
      </c>
      <c r="N706">
        <v>0.98064159292035402</v>
      </c>
      <c r="O706">
        <v>0.73875000000000002</v>
      </c>
    </row>
    <row r="707" spans="1:15" x14ac:dyDescent="0.3">
      <c r="A707">
        <v>706</v>
      </c>
      <c r="B707" s="1">
        <v>45716</v>
      </c>
      <c r="C707" t="s">
        <v>21</v>
      </c>
      <c r="D707" t="s">
        <v>17</v>
      </c>
      <c r="E707">
        <v>480</v>
      </c>
      <c r="F707">
        <v>0</v>
      </c>
      <c r="G707">
        <v>1870</v>
      </c>
      <c r="H707">
        <v>1779</v>
      </c>
      <c r="I707">
        <v>91</v>
      </c>
      <c r="J707">
        <v>12.6</v>
      </c>
      <c r="K707">
        <v>480</v>
      </c>
      <c r="L707">
        <v>1</v>
      </c>
      <c r="M707">
        <v>0.81812499999999999</v>
      </c>
      <c r="N707">
        <v>0.95133689839572189</v>
      </c>
      <c r="O707">
        <v>0.77831249999999996</v>
      </c>
    </row>
    <row r="708" spans="1:15" x14ac:dyDescent="0.3">
      <c r="A708">
        <v>707</v>
      </c>
      <c r="B708" s="1">
        <v>45716</v>
      </c>
      <c r="C708" t="s">
        <v>21</v>
      </c>
      <c r="D708" t="s">
        <v>18</v>
      </c>
      <c r="E708">
        <v>480</v>
      </c>
      <c r="F708">
        <v>18</v>
      </c>
      <c r="G708">
        <v>2028</v>
      </c>
      <c r="H708">
        <v>1973</v>
      </c>
      <c r="I708">
        <v>55</v>
      </c>
      <c r="J708">
        <v>13.2</v>
      </c>
      <c r="K708">
        <v>462</v>
      </c>
      <c r="L708">
        <v>0.96250000000000002</v>
      </c>
      <c r="M708">
        <v>0.96571428571428564</v>
      </c>
      <c r="N708">
        <v>0.97287968441814598</v>
      </c>
      <c r="O708">
        <v>0.90429166666666672</v>
      </c>
    </row>
    <row r="709" spans="1:15" x14ac:dyDescent="0.3">
      <c r="A709">
        <v>708</v>
      </c>
      <c r="B709" s="1">
        <v>45716</v>
      </c>
      <c r="C709" t="s">
        <v>21</v>
      </c>
      <c r="D709" t="s">
        <v>19</v>
      </c>
      <c r="E709">
        <v>480</v>
      </c>
      <c r="F709">
        <v>138</v>
      </c>
      <c r="G709">
        <v>1132</v>
      </c>
      <c r="H709">
        <v>1116</v>
      </c>
      <c r="I709">
        <v>16</v>
      </c>
      <c r="J709">
        <v>13.8</v>
      </c>
      <c r="K709">
        <v>342</v>
      </c>
      <c r="L709">
        <v>0.71250000000000002</v>
      </c>
      <c r="M709">
        <v>0.76128654970760234</v>
      </c>
      <c r="N709">
        <v>0.98586572438162545</v>
      </c>
      <c r="O709">
        <v>0.53474999999999995</v>
      </c>
    </row>
    <row r="710" spans="1:15" x14ac:dyDescent="0.3">
      <c r="A710">
        <v>709</v>
      </c>
      <c r="B710" s="1">
        <v>45717</v>
      </c>
      <c r="C710" t="s">
        <v>15</v>
      </c>
      <c r="D710" t="s">
        <v>16</v>
      </c>
      <c r="E710">
        <v>480</v>
      </c>
      <c r="F710">
        <v>5</v>
      </c>
      <c r="G710">
        <v>1793</v>
      </c>
      <c r="H710">
        <v>1706</v>
      </c>
      <c r="I710">
        <v>87</v>
      </c>
      <c r="J710">
        <v>12</v>
      </c>
      <c r="K710">
        <v>475</v>
      </c>
      <c r="L710">
        <v>0.98958333333333337</v>
      </c>
      <c r="M710">
        <v>0.75494736842105259</v>
      </c>
      <c r="N710">
        <v>0.95147796988287781</v>
      </c>
      <c r="O710">
        <v>0.71083333333333332</v>
      </c>
    </row>
    <row r="711" spans="1:15" x14ac:dyDescent="0.3">
      <c r="A711">
        <v>710</v>
      </c>
      <c r="B711" s="1">
        <v>45717</v>
      </c>
      <c r="C711" t="s">
        <v>15</v>
      </c>
      <c r="D711" t="s">
        <v>17</v>
      </c>
      <c r="E711">
        <v>480</v>
      </c>
      <c r="F711">
        <v>0</v>
      </c>
      <c r="G711">
        <v>1960</v>
      </c>
      <c r="H711">
        <v>1882</v>
      </c>
      <c r="I711">
        <v>78</v>
      </c>
      <c r="J711">
        <v>12.6</v>
      </c>
      <c r="K711">
        <v>480</v>
      </c>
      <c r="L711">
        <v>1</v>
      </c>
      <c r="M711">
        <v>0.85750000000000004</v>
      </c>
      <c r="N711">
        <v>0.96020408163265303</v>
      </c>
      <c r="O711">
        <v>0.82337499999999997</v>
      </c>
    </row>
    <row r="712" spans="1:15" x14ac:dyDescent="0.3">
      <c r="A712">
        <v>711</v>
      </c>
      <c r="B712" s="1">
        <v>45717</v>
      </c>
      <c r="C712" t="s">
        <v>15</v>
      </c>
      <c r="D712" t="s">
        <v>18</v>
      </c>
      <c r="E712">
        <v>480</v>
      </c>
      <c r="F712">
        <v>5</v>
      </c>
      <c r="G712">
        <v>1997</v>
      </c>
      <c r="H712">
        <v>1888</v>
      </c>
      <c r="I712">
        <v>109</v>
      </c>
      <c r="J712">
        <v>13.2</v>
      </c>
      <c r="K712">
        <v>475</v>
      </c>
      <c r="L712">
        <v>0.98958333333333337</v>
      </c>
      <c r="M712">
        <v>0.9249263157894736</v>
      </c>
      <c r="N712">
        <v>0.94541812719078622</v>
      </c>
      <c r="O712">
        <v>0.86533333333333329</v>
      </c>
    </row>
    <row r="713" spans="1:15" x14ac:dyDescent="0.3">
      <c r="A713">
        <v>712</v>
      </c>
      <c r="B713" s="1">
        <v>45717</v>
      </c>
      <c r="C713" t="s">
        <v>15</v>
      </c>
      <c r="D713" t="s">
        <v>19</v>
      </c>
      <c r="E713">
        <v>480</v>
      </c>
      <c r="F713">
        <v>53</v>
      </c>
      <c r="G713">
        <v>1655</v>
      </c>
      <c r="H713">
        <v>1562</v>
      </c>
      <c r="I713">
        <v>93</v>
      </c>
      <c r="J713">
        <v>13.8</v>
      </c>
      <c r="K713">
        <v>427</v>
      </c>
      <c r="L713">
        <v>0.88958333333333328</v>
      </c>
      <c r="M713">
        <v>0.8914519906323185</v>
      </c>
      <c r="N713">
        <v>0.9438066465256798</v>
      </c>
      <c r="O713">
        <v>0.74845833333333334</v>
      </c>
    </row>
    <row r="714" spans="1:15" x14ac:dyDescent="0.3">
      <c r="A714">
        <v>713</v>
      </c>
      <c r="B714" s="1">
        <v>45717</v>
      </c>
      <c r="C714" t="s">
        <v>20</v>
      </c>
      <c r="D714" t="s">
        <v>16</v>
      </c>
      <c r="E714">
        <v>480</v>
      </c>
      <c r="F714">
        <v>182</v>
      </c>
      <c r="G714">
        <v>1214</v>
      </c>
      <c r="H714">
        <v>1185</v>
      </c>
      <c r="I714">
        <v>29</v>
      </c>
      <c r="J714">
        <v>12</v>
      </c>
      <c r="K714">
        <v>298</v>
      </c>
      <c r="L714">
        <v>0.62083333333333335</v>
      </c>
      <c r="M714">
        <v>0.81476510067114094</v>
      </c>
      <c r="N714">
        <v>0.97611202635914329</v>
      </c>
      <c r="O714">
        <v>0.49375000000000002</v>
      </c>
    </row>
    <row r="715" spans="1:15" x14ac:dyDescent="0.3">
      <c r="A715">
        <v>714</v>
      </c>
      <c r="B715" s="1">
        <v>45717</v>
      </c>
      <c r="C715" t="s">
        <v>20</v>
      </c>
      <c r="D715" t="s">
        <v>17</v>
      </c>
      <c r="E715">
        <v>480</v>
      </c>
      <c r="F715">
        <v>31</v>
      </c>
      <c r="G715">
        <v>1854</v>
      </c>
      <c r="H715">
        <v>1812</v>
      </c>
      <c r="I715">
        <v>42</v>
      </c>
      <c r="J715">
        <v>12.6</v>
      </c>
      <c r="K715">
        <v>449</v>
      </c>
      <c r="L715">
        <v>0.93541666666666667</v>
      </c>
      <c r="M715">
        <v>0.86712694877505558</v>
      </c>
      <c r="N715">
        <v>0.97734627831715215</v>
      </c>
      <c r="O715">
        <v>0.79274999999999995</v>
      </c>
    </row>
    <row r="716" spans="1:15" x14ac:dyDescent="0.3">
      <c r="A716">
        <v>715</v>
      </c>
      <c r="B716" s="1">
        <v>45717</v>
      </c>
      <c r="C716" t="s">
        <v>20</v>
      </c>
      <c r="D716" t="s">
        <v>18</v>
      </c>
      <c r="E716">
        <v>480</v>
      </c>
      <c r="F716">
        <v>152</v>
      </c>
      <c r="G716">
        <v>1442</v>
      </c>
      <c r="H716">
        <v>1404</v>
      </c>
      <c r="I716">
        <v>38</v>
      </c>
      <c r="J716">
        <v>13.2</v>
      </c>
      <c r="K716">
        <v>328</v>
      </c>
      <c r="L716">
        <v>0.68333333333333335</v>
      </c>
      <c r="M716">
        <v>0.96719512195121937</v>
      </c>
      <c r="N716">
        <v>0.97364771151178919</v>
      </c>
      <c r="O716">
        <v>0.64349999999999996</v>
      </c>
    </row>
    <row r="717" spans="1:15" x14ac:dyDescent="0.3">
      <c r="A717">
        <v>716</v>
      </c>
      <c r="B717" s="1">
        <v>45717</v>
      </c>
      <c r="C717" t="s">
        <v>20</v>
      </c>
      <c r="D717" t="s">
        <v>19</v>
      </c>
      <c r="E717">
        <v>480</v>
      </c>
      <c r="F717">
        <v>51</v>
      </c>
      <c r="G717">
        <v>1811</v>
      </c>
      <c r="H717">
        <v>1745</v>
      </c>
      <c r="I717">
        <v>66</v>
      </c>
      <c r="J717">
        <v>13.8</v>
      </c>
      <c r="K717">
        <v>429</v>
      </c>
      <c r="L717">
        <v>0.89375000000000004</v>
      </c>
      <c r="M717">
        <v>0.97093240093240107</v>
      </c>
      <c r="N717">
        <v>0.96355604638321368</v>
      </c>
      <c r="O717">
        <v>0.83614583333333348</v>
      </c>
    </row>
    <row r="718" spans="1:15" x14ac:dyDescent="0.3">
      <c r="A718">
        <v>717</v>
      </c>
      <c r="B718" s="1">
        <v>45717</v>
      </c>
      <c r="C718" t="s">
        <v>21</v>
      </c>
      <c r="D718" t="s">
        <v>16</v>
      </c>
      <c r="E718">
        <v>480</v>
      </c>
      <c r="F718">
        <v>0</v>
      </c>
      <c r="G718">
        <v>1942</v>
      </c>
      <c r="H718">
        <v>1879</v>
      </c>
      <c r="I718">
        <v>63</v>
      </c>
      <c r="J718">
        <v>12</v>
      </c>
      <c r="K718">
        <v>480</v>
      </c>
      <c r="L718">
        <v>1</v>
      </c>
      <c r="M718">
        <v>0.8091666666666667</v>
      </c>
      <c r="N718">
        <v>0.96755921730175076</v>
      </c>
      <c r="O718">
        <v>0.78291666666666671</v>
      </c>
    </row>
    <row r="719" spans="1:15" x14ac:dyDescent="0.3">
      <c r="A719">
        <v>718</v>
      </c>
      <c r="B719" s="1">
        <v>45717</v>
      </c>
      <c r="C719" t="s">
        <v>21</v>
      </c>
      <c r="D719" t="s">
        <v>17</v>
      </c>
      <c r="E719">
        <v>480</v>
      </c>
      <c r="F719">
        <v>135</v>
      </c>
      <c r="G719">
        <v>1420</v>
      </c>
      <c r="H719">
        <v>1363</v>
      </c>
      <c r="I719">
        <v>57</v>
      </c>
      <c r="J719">
        <v>12.6</v>
      </c>
      <c r="K719">
        <v>345</v>
      </c>
      <c r="L719">
        <v>0.71875</v>
      </c>
      <c r="M719">
        <v>0.86434782608695648</v>
      </c>
      <c r="N719">
        <v>0.95985915492957752</v>
      </c>
      <c r="O719">
        <v>0.59631250000000002</v>
      </c>
    </row>
    <row r="720" spans="1:15" x14ac:dyDescent="0.3">
      <c r="A720">
        <v>719</v>
      </c>
      <c r="B720" s="1">
        <v>45717</v>
      </c>
      <c r="C720" t="s">
        <v>21</v>
      </c>
      <c r="D720" t="s">
        <v>18</v>
      </c>
      <c r="E720">
        <v>480</v>
      </c>
      <c r="F720">
        <v>21</v>
      </c>
      <c r="G720">
        <v>2039</v>
      </c>
      <c r="H720">
        <v>1957</v>
      </c>
      <c r="I720">
        <v>82</v>
      </c>
      <c r="J720">
        <v>13.2</v>
      </c>
      <c r="K720">
        <v>459</v>
      </c>
      <c r="L720">
        <v>0.95625000000000004</v>
      </c>
      <c r="M720">
        <v>0.97729847494553379</v>
      </c>
      <c r="N720">
        <v>0.95978420794507113</v>
      </c>
      <c r="O720">
        <v>0.89695833333333341</v>
      </c>
    </row>
    <row r="721" spans="1:15" x14ac:dyDescent="0.3">
      <c r="A721">
        <v>720</v>
      </c>
      <c r="B721" s="1">
        <v>45717</v>
      </c>
      <c r="C721" t="s">
        <v>21</v>
      </c>
      <c r="D721" t="s">
        <v>19</v>
      </c>
      <c r="E721">
        <v>480</v>
      </c>
      <c r="F721">
        <v>38</v>
      </c>
      <c r="G721">
        <v>1655</v>
      </c>
      <c r="H721">
        <v>1573</v>
      </c>
      <c r="I721">
        <v>82</v>
      </c>
      <c r="J721">
        <v>13.8</v>
      </c>
      <c r="K721">
        <v>442</v>
      </c>
      <c r="L721">
        <v>0.92083333333333328</v>
      </c>
      <c r="M721">
        <v>0.86119909502262448</v>
      </c>
      <c r="N721">
        <v>0.95045317220543801</v>
      </c>
      <c r="O721">
        <v>0.75372916666666656</v>
      </c>
    </row>
    <row r="722" spans="1:15" x14ac:dyDescent="0.3">
      <c r="A722">
        <v>721</v>
      </c>
      <c r="B722" s="1">
        <v>45718</v>
      </c>
      <c r="C722" t="s">
        <v>15</v>
      </c>
      <c r="D722" t="s">
        <v>16</v>
      </c>
      <c r="E722">
        <v>480</v>
      </c>
      <c r="F722">
        <v>5</v>
      </c>
      <c r="G722">
        <v>1903</v>
      </c>
      <c r="H722">
        <v>1836</v>
      </c>
      <c r="I722">
        <v>67</v>
      </c>
      <c r="J722">
        <v>12</v>
      </c>
      <c r="K722">
        <v>475</v>
      </c>
      <c r="L722">
        <v>0.98958333333333337</v>
      </c>
      <c r="M722">
        <v>0.80126315789473679</v>
      </c>
      <c r="N722">
        <v>0.96479243300052553</v>
      </c>
      <c r="O722">
        <v>0.76500000000000001</v>
      </c>
    </row>
    <row r="723" spans="1:15" x14ac:dyDescent="0.3">
      <c r="A723">
        <v>722</v>
      </c>
      <c r="B723" s="1">
        <v>45718</v>
      </c>
      <c r="C723" t="s">
        <v>15</v>
      </c>
      <c r="D723" t="s">
        <v>17</v>
      </c>
      <c r="E723">
        <v>480</v>
      </c>
      <c r="F723">
        <v>21</v>
      </c>
      <c r="G723">
        <v>1863</v>
      </c>
      <c r="H723">
        <v>1755</v>
      </c>
      <c r="I723">
        <v>108</v>
      </c>
      <c r="J723">
        <v>12.6</v>
      </c>
      <c r="K723">
        <v>459</v>
      </c>
      <c r="L723">
        <v>0.95625000000000004</v>
      </c>
      <c r="M723">
        <v>0.85235294117647054</v>
      </c>
      <c r="N723">
        <v>0.94202898550724634</v>
      </c>
      <c r="O723">
        <v>0.76781250000000001</v>
      </c>
    </row>
    <row r="724" spans="1:15" x14ac:dyDescent="0.3">
      <c r="A724">
        <v>723</v>
      </c>
      <c r="B724" s="1">
        <v>45718</v>
      </c>
      <c r="C724" t="s">
        <v>15</v>
      </c>
      <c r="D724" t="s">
        <v>18</v>
      </c>
      <c r="E724">
        <v>480</v>
      </c>
      <c r="F724">
        <v>65</v>
      </c>
      <c r="G724">
        <v>1576</v>
      </c>
      <c r="H724">
        <v>1553</v>
      </c>
      <c r="I724">
        <v>23</v>
      </c>
      <c r="J724">
        <v>13.2</v>
      </c>
      <c r="K724">
        <v>415</v>
      </c>
      <c r="L724">
        <v>0.86458333333333337</v>
      </c>
      <c r="M724">
        <v>0.83546987951807217</v>
      </c>
      <c r="N724">
        <v>0.98540609137055835</v>
      </c>
      <c r="O724">
        <v>0.7117916666666666</v>
      </c>
    </row>
    <row r="725" spans="1:15" x14ac:dyDescent="0.3">
      <c r="A725">
        <v>724</v>
      </c>
      <c r="B725" s="1">
        <v>45718</v>
      </c>
      <c r="C725" t="s">
        <v>15</v>
      </c>
      <c r="D725" t="s">
        <v>19</v>
      </c>
      <c r="E725">
        <v>480</v>
      </c>
      <c r="F725">
        <v>6</v>
      </c>
      <c r="G725">
        <v>2003</v>
      </c>
      <c r="H725">
        <v>1888</v>
      </c>
      <c r="I725">
        <v>115</v>
      </c>
      <c r="J725">
        <v>13.8</v>
      </c>
      <c r="K725">
        <v>474</v>
      </c>
      <c r="L725">
        <v>0.98750000000000004</v>
      </c>
      <c r="M725">
        <v>0.97191983122362879</v>
      </c>
      <c r="N725">
        <v>0.9425861208187718</v>
      </c>
      <c r="O725">
        <v>0.90466666666666673</v>
      </c>
    </row>
    <row r="726" spans="1:15" x14ac:dyDescent="0.3">
      <c r="A726">
        <v>725</v>
      </c>
      <c r="B726" s="1">
        <v>45718</v>
      </c>
      <c r="C726" t="s">
        <v>20</v>
      </c>
      <c r="D726" t="s">
        <v>16</v>
      </c>
      <c r="E726">
        <v>480</v>
      </c>
      <c r="F726">
        <v>84</v>
      </c>
      <c r="G726">
        <v>1686</v>
      </c>
      <c r="H726">
        <v>1643</v>
      </c>
      <c r="I726">
        <v>43</v>
      </c>
      <c r="J726">
        <v>12</v>
      </c>
      <c r="K726">
        <v>396</v>
      </c>
      <c r="L726">
        <v>0.82499999999999996</v>
      </c>
      <c r="M726">
        <v>0.85151515151515156</v>
      </c>
      <c r="N726">
        <v>0.97449584816132861</v>
      </c>
      <c r="O726">
        <v>0.68458333333333332</v>
      </c>
    </row>
    <row r="727" spans="1:15" x14ac:dyDescent="0.3">
      <c r="A727">
        <v>726</v>
      </c>
      <c r="B727" s="1">
        <v>45718</v>
      </c>
      <c r="C727" t="s">
        <v>20</v>
      </c>
      <c r="D727" t="s">
        <v>17</v>
      </c>
      <c r="E727">
        <v>480</v>
      </c>
      <c r="F727">
        <v>26</v>
      </c>
      <c r="G727">
        <v>1797</v>
      </c>
      <c r="H727">
        <v>1751</v>
      </c>
      <c r="I727">
        <v>46</v>
      </c>
      <c r="J727">
        <v>12.6</v>
      </c>
      <c r="K727">
        <v>454</v>
      </c>
      <c r="L727">
        <v>0.9458333333333333</v>
      </c>
      <c r="M727">
        <v>0.83121145374449346</v>
      </c>
      <c r="N727">
        <v>0.97440178074568728</v>
      </c>
      <c r="O727">
        <v>0.76606250000000009</v>
      </c>
    </row>
    <row r="728" spans="1:15" x14ac:dyDescent="0.3">
      <c r="A728">
        <v>727</v>
      </c>
      <c r="B728" s="1">
        <v>45718</v>
      </c>
      <c r="C728" t="s">
        <v>20</v>
      </c>
      <c r="D728" t="s">
        <v>18</v>
      </c>
      <c r="E728">
        <v>480</v>
      </c>
      <c r="F728">
        <v>16</v>
      </c>
      <c r="G728">
        <v>2054</v>
      </c>
      <c r="H728">
        <v>1992</v>
      </c>
      <c r="I728">
        <v>62</v>
      </c>
      <c r="J728">
        <v>13.2</v>
      </c>
      <c r="K728">
        <v>464</v>
      </c>
      <c r="L728">
        <v>0.96666666666666667</v>
      </c>
      <c r="M728">
        <v>0.97387931034482755</v>
      </c>
      <c r="N728">
        <v>0.96981499513145086</v>
      </c>
      <c r="O728">
        <v>0.91300000000000003</v>
      </c>
    </row>
    <row r="729" spans="1:15" x14ac:dyDescent="0.3">
      <c r="A729">
        <v>728</v>
      </c>
      <c r="B729" s="1">
        <v>45718</v>
      </c>
      <c r="C729" t="s">
        <v>20</v>
      </c>
      <c r="D729" t="s">
        <v>19</v>
      </c>
      <c r="E729">
        <v>480</v>
      </c>
      <c r="F729">
        <v>47</v>
      </c>
      <c r="G729">
        <v>1670</v>
      </c>
      <c r="H729">
        <v>1592</v>
      </c>
      <c r="I729">
        <v>78</v>
      </c>
      <c r="J729">
        <v>13.8</v>
      </c>
      <c r="K729">
        <v>433</v>
      </c>
      <c r="L729">
        <v>0.90208333333333335</v>
      </c>
      <c r="M729">
        <v>0.88706697459584294</v>
      </c>
      <c r="N729">
        <v>0.95329341317365268</v>
      </c>
      <c r="O729">
        <v>0.76283333333333325</v>
      </c>
    </row>
    <row r="730" spans="1:15" x14ac:dyDescent="0.3">
      <c r="A730">
        <v>729</v>
      </c>
      <c r="B730" s="1">
        <v>45718</v>
      </c>
      <c r="C730" t="s">
        <v>21</v>
      </c>
      <c r="D730" t="s">
        <v>16</v>
      </c>
      <c r="E730">
        <v>480</v>
      </c>
      <c r="F730">
        <v>0</v>
      </c>
      <c r="G730">
        <v>2264</v>
      </c>
      <c r="H730">
        <v>2238</v>
      </c>
      <c r="I730">
        <v>26</v>
      </c>
      <c r="J730">
        <v>12</v>
      </c>
      <c r="K730">
        <v>480</v>
      </c>
      <c r="L730">
        <v>1</v>
      </c>
      <c r="M730">
        <v>0.94333333333333336</v>
      </c>
      <c r="N730">
        <v>0.9885159010600707</v>
      </c>
      <c r="O730">
        <v>0.93250000000000011</v>
      </c>
    </row>
    <row r="731" spans="1:15" x14ac:dyDescent="0.3">
      <c r="A731">
        <v>730</v>
      </c>
      <c r="B731" s="1">
        <v>45718</v>
      </c>
      <c r="C731" t="s">
        <v>21</v>
      </c>
      <c r="D731" t="s">
        <v>17</v>
      </c>
      <c r="E731">
        <v>480</v>
      </c>
      <c r="F731">
        <v>146</v>
      </c>
      <c r="G731">
        <v>1320</v>
      </c>
      <c r="H731">
        <v>1266</v>
      </c>
      <c r="I731">
        <v>54</v>
      </c>
      <c r="J731">
        <v>12.6</v>
      </c>
      <c r="K731">
        <v>334</v>
      </c>
      <c r="L731">
        <v>0.6958333333333333</v>
      </c>
      <c r="M731">
        <v>0.82994011976047899</v>
      </c>
      <c r="N731">
        <v>0.95909090909090911</v>
      </c>
      <c r="O731">
        <v>0.5538749999999999</v>
      </c>
    </row>
    <row r="732" spans="1:15" x14ac:dyDescent="0.3">
      <c r="A732">
        <v>731</v>
      </c>
      <c r="B732" s="1">
        <v>45718</v>
      </c>
      <c r="C732" t="s">
        <v>21</v>
      </c>
      <c r="D732" t="s">
        <v>18</v>
      </c>
      <c r="E732">
        <v>480</v>
      </c>
      <c r="F732">
        <v>12</v>
      </c>
      <c r="G732">
        <v>1699</v>
      </c>
      <c r="H732">
        <v>1648</v>
      </c>
      <c r="I732">
        <v>51</v>
      </c>
      <c r="J732">
        <v>13.2</v>
      </c>
      <c r="K732">
        <v>468</v>
      </c>
      <c r="L732">
        <v>0.97499999999999998</v>
      </c>
      <c r="M732">
        <v>0.79867521367521366</v>
      </c>
      <c r="N732">
        <v>0.96998234255444382</v>
      </c>
      <c r="O732">
        <v>0.75533333333333341</v>
      </c>
    </row>
    <row r="733" spans="1:15" x14ac:dyDescent="0.3">
      <c r="A733">
        <v>732</v>
      </c>
      <c r="B733" s="1">
        <v>45718</v>
      </c>
      <c r="C733" t="s">
        <v>21</v>
      </c>
      <c r="D733" t="s">
        <v>19</v>
      </c>
      <c r="E733">
        <v>480</v>
      </c>
      <c r="F733">
        <v>9</v>
      </c>
      <c r="G733">
        <v>1995</v>
      </c>
      <c r="H733">
        <v>1880</v>
      </c>
      <c r="I733">
        <v>115</v>
      </c>
      <c r="J733">
        <v>13.8</v>
      </c>
      <c r="K733">
        <v>471</v>
      </c>
      <c r="L733">
        <v>0.98124999999999996</v>
      </c>
      <c r="M733">
        <v>0.97420382165605091</v>
      </c>
      <c r="N733">
        <v>0.94235588972431072</v>
      </c>
      <c r="O733">
        <v>0.90083333333333315</v>
      </c>
    </row>
    <row r="734" spans="1:15" x14ac:dyDescent="0.3">
      <c r="A734">
        <v>733</v>
      </c>
      <c r="B734" s="1">
        <v>45719</v>
      </c>
      <c r="C734" t="s">
        <v>15</v>
      </c>
      <c r="D734" t="s">
        <v>16</v>
      </c>
      <c r="E734">
        <v>480</v>
      </c>
      <c r="F734">
        <v>17</v>
      </c>
      <c r="G734">
        <v>1878</v>
      </c>
      <c r="H734">
        <v>1812</v>
      </c>
      <c r="I734">
        <v>66</v>
      </c>
      <c r="J734">
        <v>12</v>
      </c>
      <c r="K734">
        <v>463</v>
      </c>
      <c r="L734">
        <v>0.96458333333333335</v>
      </c>
      <c r="M734">
        <v>0.81123110151187905</v>
      </c>
      <c r="N734">
        <v>0.96485623003194887</v>
      </c>
      <c r="O734">
        <v>0.755</v>
      </c>
    </row>
    <row r="735" spans="1:15" x14ac:dyDescent="0.3">
      <c r="A735">
        <v>734</v>
      </c>
      <c r="B735" s="1">
        <v>45719</v>
      </c>
      <c r="C735" t="s">
        <v>15</v>
      </c>
      <c r="D735" t="s">
        <v>17</v>
      </c>
      <c r="E735">
        <v>480</v>
      </c>
      <c r="F735">
        <v>88</v>
      </c>
      <c r="G735">
        <v>1541</v>
      </c>
      <c r="H735">
        <v>1473</v>
      </c>
      <c r="I735">
        <v>68</v>
      </c>
      <c r="J735">
        <v>12.6</v>
      </c>
      <c r="K735">
        <v>392</v>
      </c>
      <c r="L735">
        <v>0.81666666666666665</v>
      </c>
      <c r="M735">
        <v>0.82553571428571426</v>
      </c>
      <c r="N735">
        <v>0.9558728098637248</v>
      </c>
      <c r="O735">
        <v>0.64443749999999989</v>
      </c>
    </row>
    <row r="736" spans="1:15" x14ac:dyDescent="0.3">
      <c r="A736">
        <v>735</v>
      </c>
      <c r="B736" s="1">
        <v>45719</v>
      </c>
      <c r="C736" t="s">
        <v>15</v>
      </c>
      <c r="D736" t="s">
        <v>18</v>
      </c>
      <c r="E736">
        <v>480</v>
      </c>
      <c r="F736">
        <v>61</v>
      </c>
      <c r="G736">
        <v>1860</v>
      </c>
      <c r="H736">
        <v>1821</v>
      </c>
      <c r="I736">
        <v>39</v>
      </c>
      <c r="J736">
        <v>13.2</v>
      </c>
      <c r="K736">
        <v>419</v>
      </c>
      <c r="L736">
        <v>0.87291666666666667</v>
      </c>
      <c r="M736">
        <v>0.97661097852028644</v>
      </c>
      <c r="N736">
        <v>0.9790322580645161</v>
      </c>
      <c r="O736">
        <v>0.83462500000000006</v>
      </c>
    </row>
    <row r="737" spans="1:15" x14ac:dyDescent="0.3">
      <c r="A737">
        <v>736</v>
      </c>
      <c r="B737" s="1">
        <v>45719</v>
      </c>
      <c r="C737" t="s">
        <v>15</v>
      </c>
      <c r="D737" t="s">
        <v>19</v>
      </c>
      <c r="E737">
        <v>480</v>
      </c>
      <c r="F737">
        <v>78</v>
      </c>
      <c r="G737">
        <v>1668</v>
      </c>
      <c r="H737">
        <v>1604</v>
      </c>
      <c r="I737">
        <v>64</v>
      </c>
      <c r="J737">
        <v>13.8</v>
      </c>
      <c r="K737">
        <v>402</v>
      </c>
      <c r="L737">
        <v>0.83750000000000002</v>
      </c>
      <c r="M737">
        <v>0.95432835820895523</v>
      </c>
      <c r="N737">
        <v>0.9616306954436451</v>
      </c>
      <c r="O737">
        <v>0.7685833333333334</v>
      </c>
    </row>
    <row r="738" spans="1:15" x14ac:dyDescent="0.3">
      <c r="A738">
        <v>737</v>
      </c>
      <c r="B738" s="1">
        <v>45719</v>
      </c>
      <c r="C738" t="s">
        <v>20</v>
      </c>
      <c r="D738" t="s">
        <v>16</v>
      </c>
      <c r="E738">
        <v>480</v>
      </c>
      <c r="F738">
        <v>39</v>
      </c>
      <c r="G738">
        <v>1909</v>
      </c>
      <c r="H738">
        <v>1860</v>
      </c>
      <c r="I738">
        <v>49</v>
      </c>
      <c r="J738">
        <v>12</v>
      </c>
      <c r="K738">
        <v>441</v>
      </c>
      <c r="L738">
        <v>0.91874999999999996</v>
      </c>
      <c r="M738">
        <v>0.86575963718820859</v>
      </c>
      <c r="N738">
        <v>0.97433211105290729</v>
      </c>
      <c r="O738">
        <v>0.77499999999999991</v>
      </c>
    </row>
    <row r="739" spans="1:15" x14ac:dyDescent="0.3">
      <c r="A739">
        <v>738</v>
      </c>
      <c r="B739" s="1">
        <v>45719</v>
      </c>
      <c r="C739" t="s">
        <v>20</v>
      </c>
      <c r="D739" t="s">
        <v>17</v>
      </c>
      <c r="E739">
        <v>480</v>
      </c>
      <c r="F739">
        <v>118</v>
      </c>
      <c r="G739">
        <v>1636</v>
      </c>
      <c r="H739">
        <v>1562</v>
      </c>
      <c r="I739">
        <v>74</v>
      </c>
      <c r="J739">
        <v>12.6</v>
      </c>
      <c r="K739">
        <v>362</v>
      </c>
      <c r="L739">
        <v>0.75416666666666665</v>
      </c>
      <c r="M739">
        <v>0.94906077348066287</v>
      </c>
      <c r="N739">
        <v>0.95476772616136918</v>
      </c>
      <c r="O739">
        <v>0.68337499999999984</v>
      </c>
    </row>
    <row r="740" spans="1:15" x14ac:dyDescent="0.3">
      <c r="A740">
        <v>739</v>
      </c>
      <c r="B740" s="1">
        <v>45719</v>
      </c>
      <c r="C740" t="s">
        <v>20</v>
      </c>
      <c r="D740" t="s">
        <v>18</v>
      </c>
      <c r="E740">
        <v>480</v>
      </c>
      <c r="F740">
        <v>0</v>
      </c>
      <c r="G740">
        <v>2025</v>
      </c>
      <c r="H740">
        <v>1923</v>
      </c>
      <c r="I740">
        <v>102</v>
      </c>
      <c r="J740">
        <v>13.2</v>
      </c>
      <c r="K740">
        <v>480</v>
      </c>
      <c r="L740">
        <v>1</v>
      </c>
      <c r="M740">
        <v>0.92812499999999998</v>
      </c>
      <c r="N740">
        <v>0.9496296296296296</v>
      </c>
      <c r="O740">
        <v>0.88137499999999991</v>
      </c>
    </row>
    <row r="741" spans="1:15" x14ac:dyDescent="0.3">
      <c r="A741">
        <v>740</v>
      </c>
      <c r="B741" s="1">
        <v>45719</v>
      </c>
      <c r="C741" t="s">
        <v>20</v>
      </c>
      <c r="D741" t="s">
        <v>19</v>
      </c>
      <c r="E741">
        <v>480</v>
      </c>
      <c r="F741">
        <v>53</v>
      </c>
      <c r="G741">
        <v>1638</v>
      </c>
      <c r="H741">
        <v>1569</v>
      </c>
      <c r="I741">
        <v>69</v>
      </c>
      <c r="J741">
        <v>13.8</v>
      </c>
      <c r="K741">
        <v>427</v>
      </c>
      <c r="L741">
        <v>0.88958333333333328</v>
      </c>
      <c r="M741">
        <v>0.88229508196721318</v>
      </c>
      <c r="N741">
        <v>0.95787545787545791</v>
      </c>
      <c r="O741">
        <v>0.75181249999999999</v>
      </c>
    </row>
    <row r="742" spans="1:15" x14ac:dyDescent="0.3">
      <c r="A742">
        <v>741</v>
      </c>
      <c r="B742" s="1">
        <v>45719</v>
      </c>
      <c r="C742" t="s">
        <v>21</v>
      </c>
      <c r="D742" t="s">
        <v>16</v>
      </c>
      <c r="E742">
        <v>480</v>
      </c>
      <c r="F742">
        <v>11</v>
      </c>
      <c r="G742">
        <v>2052</v>
      </c>
      <c r="H742">
        <v>2018</v>
      </c>
      <c r="I742">
        <v>34</v>
      </c>
      <c r="J742">
        <v>12</v>
      </c>
      <c r="K742">
        <v>469</v>
      </c>
      <c r="L742">
        <v>0.9770833333333333</v>
      </c>
      <c r="M742">
        <v>0.8750533049040512</v>
      </c>
      <c r="N742">
        <v>0.98343079922027288</v>
      </c>
      <c r="O742">
        <v>0.84083333333333332</v>
      </c>
    </row>
    <row r="743" spans="1:15" x14ac:dyDescent="0.3">
      <c r="A743">
        <v>742</v>
      </c>
      <c r="B743" s="1">
        <v>45719</v>
      </c>
      <c r="C743" t="s">
        <v>21</v>
      </c>
      <c r="D743" t="s">
        <v>17</v>
      </c>
      <c r="E743">
        <v>480</v>
      </c>
      <c r="F743">
        <v>25</v>
      </c>
      <c r="G743">
        <v>1857</v>
      </c>
      <c r="H743">
        <v>1829</v>
      </c>
      <c r="I743">
        <v>28</v>
      </c>
      <c r="J743">
        <v>12.6</v>
      </c>
      <c r="K743">
        <v>455</v>
      </c>
      <c r="L743">
        <v>0.94791666666666663</v>
      </c>
      <c r="M743">
        <v>0.85707692307692307</v>
      </c>
      <c r="N743">
        <v>0.98492191707054388</v>
      </c>
      <c r="O743">
        <v>0.80018749999999994</v>
      </c>
    </row>
    <row r="744" spans="1:15" x14ac:dyDescent="0.3">
      <c r="A744">
        <v>743</v>
      </c>
      <c r="B744" s="1">
        <v>45719</v>
      </c>
      <c r="C744" t="s">
        <v>21</v>
      </c>
      <c r="D744" t="s">
        <v>18</v>
      </c>
      <c r="E744">
        <v>480</v>
      </c>
      <c r="F744">
        <v>88</v>
      </c>
      <c r="G744">
        <v>1678</v>
      </c>
      <c r="H744">
        <v>1602</v>
      </c>
      <c r="I744">
        <v>76</v>
      </c>
      <c r="J744">
        <v>13.2</v>
      </c>
      <c r="K744">
        <v>392</v>
      </c>
      <c r="L744">
        <v>0.81666666666666665</v>
      </c>
      <c r="M744">
        <v>0.94173469387755093</v>
      </c>
      <c r="N744">
        <v>0.95470798569725868</v>
      </c>
      <c r="O744">
        <v>0.73424999999999996</v>
      </c>
    </row>
    <row r="745" spans="1:15" x14ac:dyDescent="0.3">
      <c r="A745">
        <v>744</v>
      </c>
      <c r="B745" s="1">
        <v>45719</v>
      </c>
      <c r="C745" t="s">
        <v>21</v>
      </c>
      <c r="D745" t="s">
        <v>19</v>
      </c>
      <c r="E745">
        <v>480</v>
      </c>
      <c r="F745">
        <v>0</v>
      </c>
      <c r="G745">
        <v>1918</v>
      </c>
      <c r="H745">
        <v>1873</v>
      </c>
      <c r="I745">
        <v>45</v>
      </c>
      <c r="J745">
        <v>13.8</v>
      </c>
      <c r="K745">
        <v>480</v>
      </c>
      <c r="L745">
        <v>1</v>
      </c>
      <c r="M745">
        <v>0.91904166666666676</v>
      </c>
      <c r="N745">
        <v>0.97653806047966629</v>
      </c>
      <c r="O745">
        <v>0.89747916666666672</v>
      </c>
    </row>
    <row r="746" spans="1:15" x14ac:dyDescent="0.3">
      <c r="A746">
        <v>745</v>
      </c>
      <c r="B746" s="1">
        <v>45720</v>
      </c>
      <c r="C746" t="s">
        <v>15</v>
      </c>
      <c r="D746" t="s">
        <v>16</v>
      </c>
      <c r="E746">
        <v>480</v>
      </c>
      <c r="F746">
        <v>18</v>
      </c>
      <c r="G746">
        <v>1880</v>
      </c>
      <c r="H746">
        <v>1774</v>
      </c>
      <c r="I746">
        <v>106</v>
      </c>
      <c r="J746">
        <v>12</v>
      </c>
      <c r="K746">
        <v>462</v>
      </c>
      <c r="L746">
        <v>0.96250000000000002</v>
      </c>
      <c r="M746">
        <v>0.81385281385281383</v>
      </c>
      <c r="N746">
        <v>0.94361702127659575</v>
      </c>
      <c r="O746">
        <v>0.73916666666666664</v>
      </c>
    </row>
    <row r="747" spans="1:15" x14ac:dyDescent="0.3">
      <c r="A747">
        <v>746</v>
      </c>
      <c r="B747" s="1">
        <v>45720</v>
      </c>
      <c r="C747" t="s">
        <v>15</v>
      </c>
      <c r="D747" t="s">
        <v>17</v>
      </c>
      <c r="E747">
        <v>480</v>
      </c>
      <c r="F747">
        <v>0</v>
      </c>
      <c r="G747">
        <v>2080</v>
      </c>
      <c r="H747">
        <v>1984</v>
      </c>
      <c r="I747">
        <v>96</v>
      </c>
      <c r="J747">
        <v>12.6</v>
      </c>
      <c r="K747">
        <v>480</v>
      </c>
      <c r="L747">
        <v>1</v>
      </c>
      <c r="M747">
        <v>0.91</v>
      </c>
      <c r="N747">
        <v>0.9538461538461539</v>
      </c>
      <c r="O747">
        <v>0.8680000000000001</v>
      </c>
    </row>
    <row r="748" spans="1:15" x14ac:dyDescent="0.3">
      <c r="A748">
        <v>747</v>
      </c>
      <c r="B748" s="1">
        <v>45720</v>
      </c>
      <c r="C748" t="s">
        <v>15</v>
      </c>
      <c r="D748" t="s">
        <v>18</v>
      </c>
      <c r="E748">
        <v>480</v>
      </c>
      <c r="F748">
        <v>141</v>
      </c>
      <c r="G748">
        <v>1478</v>
      </c>
      <c r="H748">
        <v>1431</v>
      </c>
      <c r="I748">
        <v>47</v>
      </c>
      <c r="J748">
        <v>13.2</v>
      </c>
      <c r="K748">
        <v>339</v>
      </c>
      <c r="L748">
        <v>0.70625000000000004</v>
      </c>
      <c r="M748">
        <v>0.95917404129793504</v>
      </c>
      <c r="N748">
        <v>0.96820027063599456</v>
      </c>
      <c r="O748">
        <v>0.65587499999999999</v>
      </c>
    </row>
    <row r="749" spans="1:15" x14ac:dyDescent="0.3">
      <c r="A749">
        <v>748</v>
      </c>
      <c r="B749" s="1">
        <v>45720</v>
      </c>
      <c r="C749" t="s">
        <v>15</v>
      </c>
      <c r="D749" t="s">
        <v>19</v>
      </c>
      <c r="E749">
        <v>480</v>
      </c>
      <c r="F749">
        <v>0</v>
      </c>
      <c r="G749">
        <v>1739</v>
      </c>
      <c r="H749">
        <v>1650</v>
      </c>
      <c r="I749">
        <v>89</v>
      </c>
      <c r="J749">
        <v>13.8</v>
      </c>
      <c r="K749">
        <v>480</v>
      </c>
      <c r="L749">
        <v>1</v>
      </c>
      <c r="M749">
        <v>0.8332708333333334</v>
      </c>
      <c r="N749">
        <v>0.94882116158711904</v>
      </c>
      <c r="O749">
        <v>0.79062500000000002</v>
      </c>
    </row>
    <row r="750" spans="1:15" x14ac:dyDescent="0.3">
      <c r="A750">
        <v>749</v>
      </c>
      <c r="B750" s="1">
        <v>45720</v>
      </c>
      <c r="C750" t="s">
        <v>20</v>
      </c>
      <c r="D750" t="s">
        <v>16</v>
      </c>
      <c r="E750">
        <v>480</v>
      </c>
      <c r="F750">
        <v>37</v>
      </c>
      <c r="G750">
        <v>1820</v>
      </c>
      <c r="H750">
        <v>1754</v>
      </c>
      <c r="I750">
        <v>66</v>
      </c>
      <c r="J750">
        <v>12</v>
      </c>
      <c r="K750">
        <v>443</v>
      </c>
      <c r="L750">
        <v>0.92291666666666672</v>
      </c>
      <c r="M750">
        <v>0.82167042889390518</v>
      </c>
      <c r="N750">
        <v>0.96373626373626375</v>
      </c>
      <c r="O750">
        <v>0.73083333333333345</v>
      </c>
    </row>
    <row r="751" spans="1:15" x14ac:dyDescent="0.3">
      <c r="A751">
        <v>750</v>
      </c>
      <c r="B751" s="1">
        <v>45720</v>
      </c>
      <c r="C751" t="s">
        <v>20</v>
      </c>
      <c r="D751" t="s">
        <v>17</v>
      </c>
      <c r="E751">
        <v>480</v>
      </c>
      <c r="F751">
        <v>0</v>
      </c>
      <c r="G751">
        <v>2225</v>
      </c>
      <c r="H751">
        <v>2163</v>
      </c>
      <c r="I751">
        <v>62</v>
      </c>
      <c r="J751">
        <v>12.6</v>
      </c>
      <c r="K751">
        <v>480</v>
      </c>
      <c r="L751">
        <v>1</v>
      </c>
      <c r="M751">
        <v>0.97343749999999996</v>
      </c>
      <c r="N751">
        <v>0.97213483146067414</v>
      </c>
      <c r="O751">
        <v>0.94631249999999989</v>
      </c>
    </row>
    <row r="752" spans="1:15" x14ac:dyDescent="0.3">
      <c r="A752">
        <v>751</v>
      </c>
      <c r="B752" s="1">
        <v>45720</v>
      </c>
      <c r="C752" t="s">
        <v>20</v>
      </c>
      <c r="D752" t="s">
        <v>18</v>
      </c>
      <c r="E752">
        <v>480</v>
      </c>
      <c r="F752">
        <v>32</v>
      </c>
      <c r="G752">
        <v>1862</v>
      </c>
      <c r="H752">
        <v>1819</v>
      </c>
      <c r="I752">
        <v>43</v>
      </c>
      <c r="J752">
        <v>13.2</v>
      </c>
      <c r="K752">
        <v>448</v>
      </c>
      <c r="L752">
        <v>0.93333333333333335</v>
      </c>
      <c r="M752">
        <v>0.91437499999999994</v>
      </c>
      <c r="N752">
        <v>0.97690655209452204</v>
      </c>
      <c r="O752">
        <v>0.83370833333333327</v>
      </c>
    </row>
    <row r="753" spans="1:15" x14ac:dyDescent="0.3">
      <c r="A753">
        <v>752</v>
      </c>
      <c r="B753" s="1">
        <v>45720</v>
      </c>
      <c r="C753" t="s">
        <v>20</v>
      </c>
      <c r="D753" t="s">
        <v>19</v>
      </c>
      <c r="E753">
        <v>480</v>
      </c>
      <c r="F753">
        <v>5</v>
      </c>
      <c r="G753">
        <v>1832</v>
      </c>
      <c r="H753">
        <v>1735</v>
      </c>
      <c r="I753">
        <v>97</v>
      </c>
      <c r="J753">
        <v>13.8</v>
      </c>
      <c r="K753">
        <v>475</v>
      </c>
      <c r="L753">
        <v>0.98958333333333337</v>
      </c>
      <c r="M753">
        <v>0.88707368421052635</v>
      </c>
      <c r="N753">
        <v>0.94705240174672489</v>
      </c>
      <c r="O753">
        <v>0.83135416666666673</v>
      </c>
    </row>
    <row r="754" spans="1:15" x14ac:dyDescent="0.3">
      <c r="A754">
        <v>753</v>
      </c>
      <c r="B754" s="1">
        <v>45720</v>
      </c>
      <c r="C754" t="s">
        <v>21</v>
      </c>
      <c r="D754" t="s">
        <v>16</v>
      </c>
      <c r="E754">
        <v>480</v>
      </c>
      <c r="F754">
        <v>54</v>
      </c>
      <c r="G754">
        <v>1803</v>
      </c>
      <c r="H754">
        <v>1710</v>
      </c>
      <c r="I754">
        <v>93</v>
      </c>
      <c r="J754">
        <v>12</v>
      </c>
      <c r="K754">
        <v>426</v>
      </c>
      <c r="L754">
        <v>0.88749999999999996</v>
      </c>
      <c r="M754">
        <v>0.8464788732394366</v>
      </c>
      <c r="N754">
        <v>0.9484193011647255</v>
      </c>
      <c r="O754">
        <v>0.71250000000000002</v>
      </c>
    </row>
    <row r="755" spans="1:15" x14ac:dyDescent="0.3">
      <c r="A755">
        <v>754</v>
      </c>
      <c r="B755" s="1">
        <v>45720</v>
      </c>
      <c r="C755" t="s">
        <v>21</v>
      </c>
      <c r="D755" t="s">
        <v>17</v>
      </c>
      <c r="E755">
        <v>480</v>
      </c>
      <c r="F755">
        <v>5</v>
      </c>
      <c r="G755">
        <v>1749</v>
      </c>
      <c r="H755">
        <v>1652</v>
      </c>
      <c r="I755">
        <v>97</v>
      </c>
      <c r="J755">
        <v>12.6</v>
      </c>
      <c r="K755">
        <v>475</v>
      </c>
      <c r="L755">
        <v>0.98958333333333337</v>
      </c>
      <c r="M755">
        <v>0.77324210526315784</v>
      </c>
      <c r="N755">
        <v>0.94453973699256721</v>
      </c>
      <c r="O755">
        <v>0.72275</v>
      </c>
    </row>
    <row r="756" spans="1:15" x14ac:dyDescent="0.3">
      <c r="A756">
        <v>755</v>
      </c>
      <c r="B756" s="1">
        <v>45720</v>
      </c>
      <c r="C756" t="s">
        <v>21</v>
      </c>
      <c r="D756" t="s">
        <v>18</v>
      </c>
      <c r="E756">
        <v>480</v>
      </c>
      <c r="F756">
        <v>43</v>
      </c>
      <c r="G756">
        <v>1531</v>
      </c>
      <c r="H756">
        <v>1458</v>
      </c>
      <c r="I756">
        <v>73</v>
      </c>
      <c r="J756">
        <v>13.2</v>
      </c>
      <c r="K756">
        <v>437</v>
      </c>
      <c r="L756">
        <v>0.91041666666666665</v>
      </c>
      <c r="M756">
        <v>0.77075514874141882</v>
      </c>
      <c r="N756">
        <v>0.95231874591770083</v>
      </c>
      <c r="O756">
        <v>0.66825000000000001</v>
      </c>
    </row>
    <row r="757" spans="1:15" x14ac:dyDescent="0.3">
      <c r="A757">
        <v>756</v>
      </c>
      <c r="B757" s="1">
        <v>45720</v>
      </c>
      <c r="C757" t="s">
        <v>21</v>
      </c>
      <c r="D757" t="s">
        <v>19</v>
      </c>
      <c r="E757">
        <v>480</v>
      </c>
      <c r="F757">
        <v>9</v>
      </c>
      <c r="G757">
        <v>1562</v>
      </c>
      <c r="H757">
        <v>1501</v>
      </c>
      <c r="I757">
        <v>61</v>
      </c>
      <c r="J757">
        <v>13.8</v>
      </c>
      <c r="K757">
        <v>471</v>
      </c>
      <c r="L757">
        <v>0.98124999999999996</v>
      </c>
      <c r="M757">
        <v>0.76276008492569014</v>
      </c>
      <c r="N757">
        <v>0.96094750320102429</v>
      </c>
      <c r="O757">
        <v>0.7192291666666667</v>
      </c>
    </row>
    <row r="758" spans="1:15" x14ac:dyDescent="0.3">
      <c r="A758">
        <v>757</v>
      </c>
      <c r="B758" s="1">
        <v>45721</v>
      </c>
      <c r="C758" t="s">
        <v>15</v>
      </c>
      <c r="D758" t="s">
        <v>16</v>
      </c>
      <c r="E758">
        <v>480</v>
      </c>
      <c r="F758">
        <v>38</v>
      </c>
      <c r="G758">
        <v>2074</v>
      </c>
      <c r="H758">
        <v>2020</v>
      </c>
      <c r="I758">
        <v>54</v>
      </c>
      <c r="J758">
        <v>12</v>
      </c>
      <c r="K758">
        <v>442</v>
      </c>
      <c r="L758">
        <v>0.92083333333333328</v>
      </c>
      <c r="M758">
        <v>0.93846153846153846</v>
      </c>
      <c r="N758">
        <v>0.97396335583413696</v>
      </c>
      <c r="O758">
        <v>0.84166666666666667</v>
      </c>
    </row>
    <row r="759" spans="1:15" x14ac:dyDescent="0.3">
      <c r="A759">
        <v>758</v>
      </c>
      <c r="B759" s="1">
        <v>45721</v>
      </c>
      <c r="C759" t="s">
        <v>15</v>
      </c>
      <c r="D759" t="s">
        <v>17</v>
      </c>
      <c r="E759">
        <v>480</v>
      </c>
      <c r="F759">
        <v>5</v>
      </c>
      <c r="G759">
        <v>2078</v>
      </c>
      <c r="H759">
        <v>1993</v>
      </c>
      <c r="I759">
        <v>85</v>
      </c>
      <c r="J759">
        <v>12.6</v>
      </c>
      <c r="K759">
        <v>475</v>
      </c>
      <c r="L759">
        <v>0.98958333333333337</v>
      </c>
      <c r="M759">
        <v>0.91869473684210523</v>
      </c>
      <c r="N759">
        <v>0.95909528392685273</v>
      </c>
      <c r="O759">
        <v>0.87193749999999992</v>
      </c>
    </row>
    <row r="760" spans="1:15" x14ac:dyDescent="0.3">
      <c r="A760">
        <v>759</v>
      </c>
      <c r="B760" s="1">
        <v>45721</v>
      </c>
      <c r="C760" t="s">
        <v>15</v>
      </c>
      <c r="D760" t="s">
        <v>18</v>
      </c>
      <c r="E760">
        <v>480</v>
      </c>
      <c r="F760">
        <v>137</v>
      </c>
      <c r="G760">
        <v>1394</v>
      </c>
      <c r="H760">
        <v>1368</v>
      </c>
      <c r="I760">
        <v>26</v>
      </c>
      <c r="J760">
        <v>13.2</v>
      </c>
      <c r="K760">
        <v>343</v>
      </c>
      <c r="L760">
        <v>0.71458333333333335</v>
      </c>
      <c r="M760">
        <v>0.89411078717201165</v>
      </c>
      <c r="N760">
        <v>0.9813486370157819</v>
      </c>
      <c r="O760">
        <v>0.627</v>
      </c>
    </row>
    <row r="761" spans="1:15" x14ac:dyDescent="0.3">
      <c r="A761">
        <v>760</v>
      </c>
      <c r="B761" s="1">
        <v>45721</v>
      </c>
      <c r="C761" t="s">
        <v>15</v>
      </c>
      <c r="D761" t="s">
        <v>19</v>
      </c>
      <c r="E761">
        <v>480</v>
      </c>
      <c r="F761">
        <v>0</v>
      </c>
      <c r="G761">
        <v>1955</v>
      </c>
      <c r="H761">
        <v>1879</v>
      </c>
      <c r="I761">
        <v>76</v>
      </c>
      <c r="J761">
        <v>13.8</v>
      </c>
      <c r="K761">
        <v>480</v>
      </c>
      <c r="L761">
        <v>1</v>
      </c>
      <c r="M761">
        <v>0.93677083333333333</v>
      </c>
      <c r="N761">
        <v>0.96112531969309467</v>
      </c>
      <c r="O761">
        <v>0.90035416666666668</v>
      </c>
    </row>
    <row r="762" spans="1:15" x14ac:dyDescent="0.3">
      <c r="A762">
        <v>761</v>
      </c>
      <c r="B762" s="1">
        <v>45721</v>
      </c>
      <c r="C762" t="s">
        <v>20</v>
      </c>
      <c r="D762" t="s">
        <v>16</v>
      </c>
      <c r="E762">
        <v>480</v>
      </c>
      <c r="F762">
        <v>284</v>
      </c>
      <c r="G762">
        <v>772</v>
      </c>
      <c r="H762">
        <v>737</v>
      </c>
      <c r="I762">
        <v>35</v>
      </c>
      <c r="J762">
        <v>12</v>
      </c>
      <c r="K762">
        <v>196</v>
      </c>
      <c r="L762">
        <v>0.40833333333333333</v>
      </c>
      <c r="M762">
        <v>0.78775510204081634</v>
      </c>
      <c r="N762">
        <v>0.95466321243523311</v>
      </c>
      <c r="O762">
        <v>0.30708333333333332</v>
      </c>
    </row>
    <row r="763" spans="1:15" x14ac:dyDescent="0.3">
      <c r="A763">
        <v>762</v>
      </c>
      <c r="B763" s="1">
        <v>45721</v>
      </c>
      <c r="C763" t="s">
        <v>20</v>
      </c>
      <c r="D763" t="s">
        <v>17</v>
      </c>
      <c r="E763">
        <v>480</v>
      </c>
      <c r="F763">
        <v>0</v>
      </c>
      <c r="G763">
        <v>1838</v>
      </c>
      <c r="H763">
        <v>1775</v>
      </c>
      <c r="I763">
        <v>63</v>
      </c>
      <c r="J763">
        <v>12.6</v>
      </c>
      <c r="K763">
        <v>480</v>
      </c>
      <c r="L763">
        <v>1</v>
      </c>
      <c r="M763">
        <v>0.80412499999999998</v>
      </c>
      <c r="N763">
        <v>0.96572361262241568</v>
      </c>
      <c r="O763">
        <v>0.77656250000000004</v>
      </c>
    </row>
    <row r="764" spans="1:15" x14ac:dyDescent="0.3">
      <c r="A764">
        <v>763</v>
      </c>
      <c r="B764" s="1">
        <v>45721</v>
      </c>
      <c r="C764" t="s">
        <v>20</v>
      </c>
      <c r="D764" t="s">
        <v>18</v>
      </c>
      <c r="E764">
        <v>480</v>
      </c>
      <c r="F764">
        <v>64</v>
      </c>
      <c r="G764">
        <v>1635</v>
      </c>
      <c r="H764">
        <v>1545</v>
      </c>
      <c r="I764">
        <v>90</v>
      </c>
      <c r="J764">
        <v>13.2</v>
      </c>
      <c r="K764">
        <v>416</v>
      </c>
      <c r="L764">
        <v>0.8666666666666667</v>
      </c>
      <c r="M764">
        <v>0.86466346153846152</v>
      </c>
      <c r="N764">
        <v>0.94495412844036697</v>
      </c>
      <c r="O764">
        <v>0.708125</v>
      </c>
    </row>
    <row r="765" spans="1:15" x14ac:dyDescent="0.3">
      <c r="A765">
        <v>764</v>
      </c>
      <c r="B765" s="1">
        <v>45721</v>
      </c>
      <c r="C765" t="s">
        <v>20</v>
      </c>
      <c r="D765" t="s">
        <v>19</v>
      </c>
      <c r="E765">
        <v>480</v>
      </c>
      <c r="F765">
        <v>0</v>
      </c>
      <c r="G765">
        <v>1875</v>
      </c>
      <c r="H765">
        <v>1835</v>
      </c>
      <c r="I765">
        <v>40</v>
      </c>
      <c r="J765">
        <v>13.8</v>
      </c>
      <c r="K765">
        <v>480</v>
      </c>
      <c r="L765">
        <v>1</v>
      </c>
      <c r="M765">
        <v>0.8984375</v>
      </c>
      <c r="N765">
        <v>0.97866666666666668</v>
      </c>
      <c r="O765">
        <v>0.87927083333333333</v>
      </c>
    </row>
    <row r="766" spans="1:15" x14ac:dyDescent="0.3">
      <c r="A766">
        <v>765</v>
      </c>
      <c r="B766" s="1">
        <v>45721</v>
      </c>
      <c r="C766" t="s">
        <v>21</v>
      </c>
      <c r="D766" t="s">
        <v>16</v>
      </c>
      <c r="E766">
        <v>480</v>
      </c>
      <c r="F766">
        <v>0</v>
      </c>
      <c r="G766">
        <v>2177</v>
      </c>
      <c r="H766">
        <v>2091</v>
      </c>
      <c r="I766">
        <v>86</v>
      </c>
      <c r="J766">
        <v>12</v>
      </c>
      <c r="K766">
        <v>480</v>
      </c>
      <c r="L766">
        <v>1</v>
      </c>
      <c r="M766">
        <v>0.90708333333333335</v>
      </c>
      <c r="N766">
        <v>0.96049609554432702</v>
      </c>
      <c r="O766">
        <v>0.87124999999999997</v>
      </c>
    </row>
    <row r="767" spans="1:15" x14ac:dyDescent="0.3">
      <c r="A767">
        <v>766</v>
      </c>
      <c r="B767" s="1">
        <v>45721</v>
      </c>
      <c r="C767" t="s">
        <v>21</v>
      </c>
      <c r="D767" t="s">
        <v>17</v>
      </c>
      <c r="E767">
        <v>480</v>
      </c>
      <c r="F767">
        <v>97</v>
      </c>
      <c r="G767">
        <v>1516</v>
      </c>
      <c r="H767">
        <v>1459</v>
      </c>
      <c r="I767">
        <v>57</v>
      </c>
      <c r="J767">
        <v>12.6</v>
      </c>
      <c r="K767">
        <v>383</v>
      </c>
      <c r="L767">
        <v>0.79791666666666672</v>
      </c>
      <c r="M767">
        <v>0.83122715404699732</v>
      </c>
      <c r="N767">
        <v>0.96240105540897103</v>
      </c>
      <c r="O767">
        <v>0.63831250000000006</v>
      </c>
    </row>
    <row r="768" spans="1:15" x14ac:dyDescent="0.3">
      <c r="A768">
        <v>767</v>
      </c>
      <c r="B768" s="1">
        <v>45721</v>
      </c>
      <c r="C768" t="s">
        <v>21</v>
      </c>
      <c r="D768" t="s">
        <v>18</v>
      </c>
      <c r="E768">
        <v>480</v>
      </c>
      <c r="F768">
        <v>76</v>
      </c>
      <c r="G768">
        <v>1448</v>
      </c>
      <c r="H768">
        <v>1364</v>
      </c>
      <c r="I768">
        <v>84</v>
      </c>
      <c r="J768">
        <v>13.2</v>
      </c>
      <c r="K768">
        <v>404</v>
      </c>
      <c r="L768">
        <v>0.84166666666666667</v>
      </c>
      <c r="M768">
        <v>0.78851485148514844</v>
      </c>
      <c r="N768">
        <v>0.94198895027624308</v>
      </c>
      <c r="O768">
        <v>0.62516666666666665</v>
      </c>
    </row>
    <row r="769" spans="1:15" x14ac:dyDescent="0.3">
      <c r="A769">
        <v>768</v>
      </c>
      <c r="B769" s="1">
        <v>45721</v>
      </c>
      <c r="C769" t="s">
        <v>21</v>
      </c>
      <c r="D769" t="s">
        <v>19</v>
      </c>
      <c r="E769">
        <v>480</v>
      </c>
      <c r="F769">
        <v>46</v>
      </c>
      <c r="G769">
        <v>1760</v>
      </c>
      <c r="H769">
        <v>1730</v>
      </c>
      <c r="I769">
        <v>30</v>
      </c>
      <c r="J769">
        <v>13.8</v>
      </c>
      <c r="K769">
        <v>434</v>
      </c>
      <c r="L769">
        <v>0.90416666666666667</v>
      </c>
      <c r="M769">
        <v>0.93271889400921659</v>
      </c>
      <c r="N769">
        <v>0.98295454545454541</v>
      </c>
      <c r="O769">
        <v>0.82895833333333335</v>
      </c>
    </row>
    <row r="770" spans="1:15" x14ac:dyDescent="0.3">
      <c r="A770">
        <v>769</v>
      </c>
      <c r="B770" s="1">
        <v>45722</v>
      </c>
      <c r="C770" t="s">
        <v>15</v>
      </c>
      <c r="D770" t="s">
        <v>16</v>
      </c>
      <c r="E770">
        <v>480</v>
      </c>
      <c r="F770">
        <v>0</v>
      </c>
      <c r="G770">
        <v>2155</v>
      </c>
      <c r="H770">
        <v>2113</v>
      </c>
      <c r="I770">
        <v>42</v>
      </c>
      <c r="J770">
        <v>12</v>
      </c>
      <c r="K770">
        <v>480</v>
      </c>
      <c r="L770">
        <v>1</v>
      </c>
      <c r="M770">
        <v>0.8979166666666667</v>
      </c>
      <c r="N770">
        <v>0.98051044083526684</v>
      </c>
      <c r="O770">
        <v>0.88041666666666674</v>
      </c>
    </row>
    <row r="771" spans="1:15" x14ac:dyDescent="0.3">
      <c r="A771">
        <v>770</v>
      </c>
      <c r="B771" s="1">
        <v>45722</v>
      </c>
      <c r="C771" t="s">
        <v>15</v>
      </c>
      <c r="D771" t="s">
        <v>17</v>
      </c>
      <c r="E771">
        <v>480</v>
      </c>
      <c r="F771">
        <v>0</v>
      </c>
      <c r="G771">
        <v>1802</v>
      </c>
      <c r="H771">
        <v>1701</v>
      </c>
      <c r="I771">
        <v>101</v>
      </c>
      <c r="J771">
        <v>12.6</v>
      </c>
      <c r="K771">
        <v>480</v>
      </c>
      <c r="L771">
        <v>1</v>
      </c>
      <c r="M771">
        <v>0.78837500000000005</v>
      </c>
      <c r="N771">
        <v>0.94395116537180912</v>
      </c>
      <c r="O771">
        <v>0.74418750000000011</v>
      </c>
    </row>
    <row r="772" spans="1:15" x14ac:dyDescent="0.3">
      <c r="A772">
        <v>771</v>
      </c>
      <c r="B772" s="1">
        <v>45722</v>
      </c>
      <c r="C772" t="s">
        <v>15</v>
      </c>
      <c r="D772" t="s">
        <v>18</v>
      </c>
      <c r="E772">
        <v>480</v>
      </c>
      <c r="F772">
        <v>51</v>
      </c>
      <c r="G772">
        <v>1581</v>
      </c>
      <c r="H772">
        <v>1563</v>
      </c>
      <c r="I772">
        <v>18</v>
      </c>
      <c r="J772">
        <v>13.2</v>
      </c>
      <c r="K772">
        <v>429</v>
      </c>
      <c r="L772">
        <v>0.89375000000000004</v>
      </c>
      <c r="M772">
        <v>0.81076923076923069</v>
      </c>
      <c r="N772">
        <v>0.98861480075901331</v>
      </c>
      <c r="O772">
        <v>0.71637499999999998</v>
      </c>
    </row>
    <row r="773" spans="1:15" x14ac:dyDescent="0.3">
      <c r="A773">
        <v>772</v>
      </c>
      <c r="B773" s="1">
        <v>45722</v>
      </c>
      <c r="C773" t="s">
        <v>15</v>
      </c>
      <c r="D773" t="s">
        <v>19</v>
      </c>
      <c r="E773">
        <v>480</v>
      </c>
      <c r="F773">
        <v>297</v>
      </c>
      <c r="G773">
        <v>722</v>
      </c>
      <c r="H773">
        <v>706</v>
      </c>
      <c r="I773">
        <v>16</v>
      </c>
      <c r="J773">
        <v>13.8</v>
      </c>
      <c r="K773">
        <v>183</v>
      </c>
      <c r="L773">
        <v>0.38124999999999998</v>
      </c>
      <c r="M773">
        <v>0.90743169398907109</v>
      </c>
      <c r="N773">
        <v>0.97783933518005539</v>
      </c>
      <c r="O773">
        <v>0.33829166666666666</v>
      </c>
    </row>
    <row r="774" spans="1:15" x14ac:dyDescent="0.3">
      <c r="A774">
        <v>773</v>
      </c>
      <c r="B774" s="1">
        <v>45722</v>
      </c>
      <c r="C774" t="s">
        <v>20</v>
      </c>
      <c r="D774" t="s">
        <v>16</v>
      </c>
      <c r="E774">
        <v>480</v>
      </c>
      <c r="F774">
        <v>36</v>
      </c>
      <c r="G774">
        <v>1860</v>
      </c>
      <c r="H774">
        <v>1783</v>
      </c>
      <c r="I774">
        <v>77</v>
      </c>
      <c r="J774">
        <v>12</v>
      </c>
      <c r="K774">
        <v>444</v>
      </c>
      <c r="L774">
        <v>0.92500000000000004</v>
      </c>
      <c r="M774">
        <v>0.83783783783783783</v>
      </c>
      <c r="N774">
        <v>0.95860215053763442</v>
      </c>
      <c r="O774">
        <v>0.74291666666666667</v>
      </c>
    </row>
    <row r="775" spans="1:15" x14ac:dyDescent="0.3">
      <c r="A775">
        <v>774</v>
      </c>
      <c r="B775" s="1">
        <v>45722</v>
      </c>
      <c r="C775" t="s">
        <v>20</v>
      </c>
      <c r="D775" t="s">
        <v>17</v>
      </c>
      <c r="E775">
        <v>480</v>
      </c>
      <c r="F775">
        <v>64</v>
      </c>
      <c r="G775">
        <v>1912</v>
      </c>
      <c r="H775">
        <v>1803</v>
      </c>
      <c r="I775">
        <v>109</v>
      </c>
      <c r="J775">
        <v>12.6</v>
      </c>
      <c r="K775">
        <v>416</v>
      </c>
      <c r="L775">
        <v>0.8666666666666667</v>
      </c>
      <c r="M775">
        <v>0.96519230769230768</v>
      </c>
      <c r="N775">
        <v>0.94299163179916323</v>
      </c>
      <c r="O775">
        <v>0.78881250000000003</v>
      </c>
    </row>
    <row r="776" spans="1:15" x14ac:dyDescent="0.3">
      <c r="A776">
        <v>775</v>
      </c>
      <c r="B776" s="1">
        <v>45722</v>
      </c>
      <c r="C776" t="s">
        <v>20</v>
      </c>
      <c r="D776" t="s">
        <v>18</v>
      </c>
      <c r="E776">
        <v>480</v>
      </c>
      <c r="F776">
        <v>0</v>
      </c>
      <c r="G776">
        <v>2075</v>
      </c>
      <c r="H776">
        <v>1978</v>
      </c>
      <c r="I776">
        <v>97</v>
      </c>
      <c r="J776">
        <v>13.2</v>
      </c>
      <c r="K776">
        <v>480</v>
      </c>
      <c r="L776">
        <v>1</v>
      </c>
      <c r="M776">
        <v>0.95104166666666667</v>
      </c>
      <c r="N776">
        <v>0.95325301204819279</v>
      </c>
      <c r="O776">
        <v>0.90658333333333341</v>
      </c>
    </row>
    <row r="777" spans="1:15" x14ac:dyDescent="0.3">
      <c r="A777">
        <v>776</v>
      </c>
      <c r="B777" s="1">
        <v>45722</v>
      </c>
      <c r="C777" t="s">
        <v>20</v>
      </c>
      <c r="D777" t="s">
        <v>19</v>
      </c>
      <c r="E777">
        <v>480</v>
      </c>
      <c r="F777">
        <v>109</v>
      </c>
      <c r="G777">
        <v>1444</v>
      </c>
      <c r="H777">
        <v>1378</v>
      </c>
      <c r="I777">
        <v>66</v>
      </c>
      <c r="J777">
        <v>13.8</v>
      </c>
      <c r="K777">
        <v>371</v>
      </c>
      <c r="L777">
        <v>0.7729166666666667</v>
      </c>
      <c r="M777">
        <v>0.89520215633423184</v>
      </c>
      <c r="N777">
        <v>0.95429362880886426</v>
      </c>
      <c r="O777">
        <v>0.66029166666666672</v>
      </c>
    </row>
    <row r="778" spans="1:15" x14ac:dyDescent="0.3">
      <c r="A778">
        <v>777</v>
      </c>
      <c r="B778" s="1">
        <v>45722</v>
      </c>
      <c r="C778" t="s">
        <v>21</v>
      </c>
      <c r="D778" t="s">
        <v>16</v>
      </c>
      <c r="E778">
        <v>480</v>
      </c>
      <c r="F778">
        <v>21</v>
      </c>
      <c r="G778">
        <v>2052</v>
      </c>
      <c r="H778">
        <v>2017</v>
      </c>
      <c r="I778">
        <v>35</v>
      </c>
      <c r="J778">
        <v>12</v>
      </c>
      <c r="K778">
        <v>459</v>
      </c>
      <c r="L778">
        <v>0.95625000000000004</v>
      </c>
      <c r="M778">
        <v>0.89411764705882357</v>
      </c>
      <c r="N778">
        <v>0.98294346978557501</v>
      </c>
      <c r="O778">
        <v>0.8404166666666667</v>
      </c>
    </row>
    <row r="779" spans="1:15" x14ac:dyDescent="0.3">
      <c r="A779">
        <v>778</v>
      </c>
      <c r="B779" s="1">
        <v>45722</v>
      </c>
      <c r="C779" t="s">
        <v>21</v>
      </c>
      <c r="D779" t="s">
        <v>17</v>
      </c>
      <c r="E779">
        <v>480</v>
      </c>
      <c r="F779">
        <v>15</v>
      </c>
      <c r="G779">
        <v>1964</v>
      </c>
      <c r="H779">
        <v>1934</v>
      </c>
      <c r="I779">
        <v>30</v>
      </c>
      <c r="J779">
        <v>12.6</v>
      </c>
      <c r="K779">
        <v>465</v>
      </c>
      <c r="L779">
        <v>0.96875</v>
      </c>
      <c r="M779">
        <v>0.88696774193548378</v>
      </c>
      <c r="N779">
        <v>0.98472505091649698</v>
      </c>
      <c r="O779">
        <v>0.84612500000000002</v>
      </c>
    </row>
    <row r="780" spans="1:15" x14ac:dyDescent="0.3">
      <c r="A780">
        <v>779</v>
      </c>
      <c r="B780" s="1">
        <v>45722</v>
      </c>
      <c r="C780" t="s">
        <v>21</v>
      </c>
      <c r="D780" t="s">
        <v>18</v>
      </c>
      <c r="E780">
        <v>480</v>
      </c>
      <c r="F780">
        <v>0</v>
      </c>
      <c r="G780">
        <v>2092</v>
      </c>
      <c r="H780">
        <v>2043</v>
      </c>
      <c r="I780">
        <v>49</v>
      </c>
      <c r="J780">
        <v>13.2</v>
      </c>
      <c r="K780">
        <v>480</v>
      </c>
      <c r="L780">
        <v>1</v>
      </c>
      <c r="M780">
        <v>0.9588333333333332</v>
      </c>
      <c r="N780">
        <v>0.97657743785850859</v>
      </c>
      <c r="O780">
        <v>0.93637499999999985</v>
      </c>
    </row>
    <row r="781" spans="1:15" x14ac:dyDescent="0.3">
      <c r="A781">
        <v>780</v>
      </c>
      <c r="B781" s="1">
        <v>45722</v>
      </c>
      <c r="C781" t="s">
        <v>21</v>
      </c>
      <c r="D781" t="s">
        <v>19</v>
      </c>
      <c r="E781">
        <v>480</v>
      </c>
      <c r="F781">
        <v>196</v>
      </c>
      <c r="G781">
        <v>1068</v>
      </c>
      <c r="H781">
        <v>1015</v>
      </c>
      <c r="I781">
        <v>53</v>
      </c>
      <c r="J781">
        <v>13.8</v>
      </c>
      <c r="K781">
        <v>284</v>
      </c>
      <c r="L781">
        <v>0.59166666666666667</v>
      </c>
      <c r="M781">
        <v>0.86492957746478882</v>
      </c>
      <c r="N781">
        <v>0.95037453183520604</v>
      </c>
      <c r="O781">
        <v>0.4863541666666667</v>
      </c>
    </row>
    <row r="782" spans="1:15" x14ac:dyDescent="0.3">
      <c r="A782">
        <v>781</v>
      </c>
      <c r="B782" s="1">
        <v>45723</v>
      </c>
      <c r="C782" t="s">
        <v>15</v>
      </c>
      <c r="D782" t="s">
        <v>16</v>
      </c>
      <c r="E782">
        <v>480</v>
      </c>
      <c r="F782">
        <v>0</v>
      </c>
      <c r="G782">
        <v>2339</v>
      </c>
      <c r="H782">
        <v>2203</v>
      </c>
      <c r="I782">
        <v>136</v>
      </c>
      <c r="J782">
        <v>12</v>
      </c>
      <c r="K782">
        <v>480</v>
      </c>
      <c r="L782">
        <v>1</v>
      </c>
      <c r="M782">
        <v>0.97458333333333336</v>
      </c>
      <c r="N782">
        <v>0.94185549380076961</v>
      </c>
      <c r="O782">
        <v>0.91791666666666671</v>
      </c>
    </row>
    <row r="783" spans="1:15" x14ac:dyDescent="0.3">
      <c r="A783">
        <v>782</v>
      </c>
      <c r="B783" s="1">
        <v>45723</v>
      </c>
      <c r="C783" t="s">
        <v>15</v>
      </c>
      <c r="D783" t="s">
        <v>17</v>
      </c>
      <c r="E783">
        <v>480</v>
      </c>
      <c r="F783">
        <v>0</v>
      </c>
      <c r="G783">
        <v>1871</v>
      </c>
      <c r="H783">
        <v>1843</v>
      </c>
      <c r="I783">
        <v>28</v>
      </c>
      <c r="J783">
        <v>12.6</v>
      </c>
      <c r="K783">
        <v>480</v>
      </c>
      <c r="L783">
        <v>1</v>
      </c>
      <c r="M783">
        <v>0.81856249999999997</v>
      </c>
      <c r="N783">
        <v>0.98503474078033137</v>
      </c>
      <c r="O783">
        <v>0.80631249999999999</v>
      </c>
    </row>
    <row r="784" spans="1:15" x14ac:dyDescent="0.3">
      <c r="A784">
        <v>783</v>
      </c>
      <c r="B784" s="1">
        <v>45723</v>
      </c>
      <c r="C784" t="s">
        <v>15</v>
      </c>
      <c r="D784" t="s">
        <v>18</v>
      </c>
      <c r="E784">
        <v>480</v>
      </c>
      <c r="F784">
        <v>5</v>
      </c>
      <c r="G784">
        <v>1789</v>
      </c>
      <c r="H784">
        <v>1684</v>
      </c>
      <c r="I784">
        <v>105</v>
      </c>
      <c r="J784">
        <v>13.2</v>
      </c>
      <c r="K784">
        <v>475</v>
      </c>
      <c r="L784">
        <v>0.98958333333333337</v>
      </c>
      <c r="M784">
        <v>0.82858947368421054</v>
      </c>
      <c r="N784">
        <v>0.94130799329234205</v>
      </c>
      <c r="O784">
        <v>0.77183333333333326</v>
      </c>
    </row>
    <row r="785" spans="1:15" x14ac:dyDescent="0.3">
      <c r="A785">
        <v>784</v>
      </c>
      <c r="B785" s="1">
        <v>45723</v>
      </c>
      <c r="C785" t="s">
        <v>15</v>
      </c>
      <c r="D785" t="s">
        <v>19</v>
      </c>
      <c r="E785">
        <v>480</v>
      </c>
      <c r="F785">
        <v>108</v>
      </c>
      <c r="G785">
        <v>1234</v>
      </c>
      <c r="H785">
        <v>1215</v>
      </c>
      <c r="I785">
        <v>19</v>
      </c>
      <c r="J785">
        <v>13.8</v>
      </c>
      <c r="K785">
        <v>372</v>
      </c>
      <c r="L785">
        <v>0.77500000000000002</v>
      </c>
      <c r="M785">
        <v>0.76295698924731181</v>
      </c>
      <c r="N785">
        <v>0.98460291734197736</v>
      </c>
      <c r="O785">
        <v>0.58218749999999997</v>
      </c>
    </row>
    <row r="786" spans="1:15" x14ac:dyDescent="0.3">
      <c r="A786">
        <v>785</v>
      </c>
      <c r="B786" s="1">
        <v>45723</v>
      </c>
      <c r="C786" t="s">
        <v>20</v>
      </c>
      <c r="D786" t="s">
        <v>16</v>
      </c>
      <c r="E786">
        <v>480</v>
      </c>
      <c r="F786">
        <v>79</v>
      </c>
      <c r="G786">
        <v>1963</v>
      </c>
      <c r="H786">
        <v>1897</v>
      </c>
      <c r="I786">
        <v>66</v>
      </c>
      <c r="J786">
        <v>12</v>
      </c>
      <c r="K786">
        <v>401</v>
      </c>
      <c r="L786">
        <v>0.8354166666666667</v>
      </c>
      <c r="M786">
        <v>0.97905236907730675</v>
      </c>
      <c r="N786">
        <v>0.96637799286805914</v>
      </c>
      <c r="O786">
        <v>0.79041666666666677</v>
      </c>
    </row>
    <row r="787" spans="1:15" x14ac:dyDescent="0.3">
      <c r="A787">
        <v>786</v>
      </c>
      <c r="B787" s="1">
        <v>45723</v>
      </c>
      <c r="C787" t="s">
        <v>20</v>
      </c>
      <c r="D787" t="s">
        <v>17</v>
      </c>
      <c r="E787">
        <v>480</v>
      </c>
      <c r="F787">
        <v>47</v>
      </c>
      <c r="G787">
        <v>1590</v>
      </c>
      <c r="H787">
        <v>1573</v>
      </c>
      <c r="I787">
        <v>17</v>
      </c>
      <c r="J787">
        <v>12.6</v>
      </c>
      <c r="K787">
        <v>433</v>
      </c>
      <c r="L787">
        <v>0.90208333333333335</v>
      </c>
      <c r="M787">
        <v>0.77113163972286369</v>
      </c>
      <c r="N787">
        <v>0.98930817610062893</v>
      </c>
      <c r="O787">
        <v>0.68818749999999995</v>
      </c>
    </row>
    <row r="788" spans="1:15" x14ac:dyDescent="0.3">
      <c r="A788">
        <v>787</v>
      </c>
      <c r="B788" s="1">
        <v>45723</v>
      </c>
      <c r="C788" t="s">
        <v>20</v>
      </c>
      <c r="D788" t="s">
        <v>18</v>
      </c>
      <c r="E788">
        <v>480</v>
      </c>
      <c r="F788">
        <v>59</v>
      </c>
      <c r="G788">
        <v>1576</v>
      </c>
      <c r="H788">
        <v>1521</v>
      </c>
      <c r="I788">
        <v>55</v>
      </c>
      <c r="J788">
        <v>13.2</v>
      </c>
      <c r="K788">
        <v>421</v>
      </c>
      <c r="L788">
        <v>0.87708333333333333</v>
      </c>
      <c r="M788">
        <v>0.82356294536817087</v>
      </c>
      <c r="N788">
        <v>0.96510152284263961</v>
      </c>
      <c r="O788">
        <v>0.69712499999999988</v>
      </c>
    </row>
    <row r="789" spans="1:15" x14ac:dyDescent="0.3">
      <c r="A789">
        <v>788</v>
      </c>
      <c r="B789" s="1">
        <v>45723</v>
      </c>
      <c r="C789" t="s">
        <v>20</v>
      </c>
      <c r="D789" t="s">
        <v>19</v>
      </c>
      <c r="E789">
        <v>480</v>
      </c>
      <c r="F789">
        <v>0</v>
      </c>
      <c r="G789">
        <v>2025</v>
      </c>
      <c r="H789">
        <v>1919</v>
      </c>
      <c r="I789">
        <v>106</v>
      </c>
      <c r="J789">
        <v>13.8</v>
      </c>
      <c r="K789">
        <v>480</v>
      </c>
      <c r="L789">
        <v>1</v>
      </c>
      <c r="M789">
        <v>0.97031250000000002</v>
      </c>
      <c r="N789">
        <v>0.94765432098765434</v>
      </c>
      <c r="O789">
        <v>0.91952083333333334</v>
      </c>
    </row>
    <row r="790" spans="1:15" x14ac:dyDescent="0.3">
      <c r="A790">
        <v>789</v>
      </c>
      <c r="B790" s="1">
        <v>45723</v>
      </c>
      <c r="C790" t="s">
        <v>21</v>
      </c>
      <c r="D790" t="s">
        <v>16</v>
      </c>
      <c r="E790">
        <v>480</v>
      </c>
      <c r="F790">
        <v>22</v>
      </c>
      <c r="G790">
        <v>1940</v>
      </c>
      <c r="H790">
        <v>1851</v>
      </c>
      <c r="I790">
        <v>89</v>
      </c>
      <c r="J790">
        <v>12</v>
      </c>
      <c r="K790">
        <v>458</v>
      </c>
      <c r="L790">
        <v>0.95416666666666672</v>
      </c>
      <c r="M790">
        <v>0.84716157205240172</v>
      </c>
      <c r="N790">
        <v>0.95412371134020624</v>
      </c>
      <c r="O790">
        <v>0.7712500000000001</v>
      </c>
    </row>
    <row r="791" spans="1:15" x14ac:dyDescent="0.3">
      <c r="A791">
        <v>790</v>
      </c>
      <c r="B791" s="1">
        <v>45723</v>
      </c>
      <c r="C791" t="s">
        <v>21</v>
      </c>
      <c r="D791" t="s">
        <v>17</v>
      </c>
      <c r="E791">
        <v>480</v>
      </c>
      <c r="F791">
        <v>25</v>
      </c>
      <c r="G791">
        <v>1937</v>
      </c>
      <c r="H791">
        <v>1838</v>
      </c>
      <c r="I791">
        <v>99</v>
      </c>
      <c r="J791">
        <v>12.6</v>
      </c>
      <c r="K791">
        <v>455</v>
      </c>
      <c r="L791">
        <v>0.94791666666666663</v>
      </c>
      <c r="M791">
        <v>0.89400000000000002</v>
      </c>
      <c r="N791">
        <v>0.94889003613835832</v>
      </c>
      <c r="O791">
        <v>0.80412499999999998</v>
      </c>
    </row>
    <row r="792" spans="1:15" x14ac:dyDescent="0.3">
      <c r="A792">
        <v>791</v>
      </c>
      <c r="B792" s="1">
        <v>45723</v>
      </c>
      <c r="C792" t="s">
        <v>21</v>
      </c>
      <c r="D792" t="s">
        <v>18</v>
      </c>
      <c r="E792">
        <v>480</v>
      </c>
      <c r="F792">
        <v>27</v>
      </c>
      <c r="G792">
        <v>1756</v>
      </c>
      <c r="H792">
        <v>1696</v>
      </c>
      <c r="I792">
        <v>60</v>
      </c>
      <c r="J792">
        <v>13.2</v>
      </c>
      <c r="K792">
        <v>453</v>
      </c>
      <c r="L792">
        <v>0.94374999999999998</v>
      </c>
      <c r="M792">
        <v>0.85280353200882997</v>
      </c>
      <c r="N792">
        <v>0.96583143507972669</v>
      </c>
      <c r="O792">
        <v>0.77733333333333332</v>
      </c>
    </row>
    <row r="793" spans="1:15" x14ac:dyDescent="0.3">
      <c r="A793">
        <v>792</v>
      </c>
      <c r="B793" s="1">
        <v>45723</v>
      </c>
      <c r="C793" t="s">
        <v>21</v>
      </c>
      <c r="D793" t="s">
        <v>19</v>
      </c>
      <c r="E793">
        <v>480</v>
      </c>
      <c r="F793">
        <v>0</v>
      </c>
      <c r="G793">
        <v>1866</v>
      </c>
      <c r="H793">
        <v>1814</v>
      </c>
      <c r="I793">
        <v>52</v>
      </c>
      <c r="J793">
        <v>13.8</v>
      </c>
      <c r="K793">
        <v>480</v>
      </c>
      <c r="L793">
        <v>1</v>
      </c>
      <c r="M793">
        <v>0.89412500000000006</v>
      </c>
      <c r="N793">
        <v>0.97213290460878887</v>
      </c>
      <c r="O793">
        <v>0.86920833333333336</v>
      </c>
    </row>
    <row r="794" spans="1:15" x14ac:dyDescent="0.3">
      <c r="A794">
        <v>793</v>
      </c>
      <c r="B794" s="1">
        <v>45724</v>
      </c>
      <c r="C794" t="s">
        <v>15</v>
      </c>
      <c r="D794" t="s">
        <v>16</v>
      </c>
      <c r="E794">
        <v>480</v>
      </c>
      <c r="F794">
        <v>78</v>
      </c>
      <c r="G794">
        <v>1596</v>
      </c>
      <c r="H794">
        <v>1544</v>
      </c>
      <c r="I794">
        <v>52</v>
      </c>
      <c r="J794">
        <v>12</v>
      </c>
      <c r="K794">
        <v>402</v>
      </c>
      <c r="L794">
        <v>0.83750000000000002</v>
      </c>
      <c r="M794">
        <v>0.79402985074626864</v>
      </c>
      <c r="N794">
        <v>0.96741854636591473</v>
      </c>
      <c r="O794">
        <v>0.64333333333333331</v>
      </c>
    </row>
    <row r="795" spans="1:15" x14ac:dyDescent="0.3">
      <c r="A795">
        <v>794</v>
      </c>
      <c r="B795" s="1">
        <v>45724</v>
      </c>
      <c r="C795" t="s">
        <v>15</v>
      </c>
      <c r="D795" t="s">
        <v>17</v>
      </c>
      <c r="E795">
        <v>480</v>
      </c>
      <c r="F795">
        <v>68</v>
      </c>
      <c r="G795">
        <v>1529</v>
      </c>
      <c r="H795">
        <v>1485</v>
      </c>
      <c r="I795">
        <v>44</v>
      </c>
      <c r="J795">
        <v>12.6</v>
      </c>
      <c r="K795">
        <v>412</v>
      </c>
      <c r="L795">
        <v>0.85833333333333328</v>
      </c>
      <c r="M795">
        <v>0.7793446601941747</v>
      </c>
      <c r="N795">
        <v>0.97122302158273377</v>
      </c>
      <c r="O795">
        <v>0.64968749999999997</v>
      </c>
    </row>
    <row r="796" spans="1:15" x14ac:dyDescent="0.3">
      <c r="A796">
        <v>795</v>
      </c>
      <c r="B796" s="1">
        <v>45724</v>
      </c>
      <c r="C796" t="s">
        <v>15</v>
      </c>
      <c r="D796" t="s">
        <v>18</v>
      </c>
      <c r="E796">
        <v>480</v>
      </c>
      <c r="F796">
        <v>0</v>
      </c>
      <c r="G796">
        <v>1948</v>
      </c>
      <c r="H796">
        <v>1885</v>
      </c>
      <c r="I796">
        <v>63</v>
      </c>
      <c r="J796">
        <v>13.2</v>
      </c>
      <c r="K796">
        <v>480</v>
      </c>
      <c r="L796">
        <v>1</v>
      </c>
      <c r="M796">
        <v>0.89283333333333326</v>
      </c>
      <c r="N796">
        <v>0.96765913757700206</v>
      </c>
      <c r="O796">
        <v>0.86395833333333327</v>
      </c>
    </row>
    <row r="797" spans="1:15" x14ac:dyDescent="0.3">
      <c r="A797">
        <v>796</v>
      </c>
      <c r="B797" s="1">
        <v>45724</v>
      </c>
      <c r="C797" t="s">
        <v>15</v>
      </c>
      <c r="D797" t="s">
        <v>19</v>
      </c>
      <c r="E797">
        <v>480</v>
      </c>
      <c r="F797">
        <v>23</v>
      </c>
      <c r="G797">
        <v>1913</v>
      </c>
      <c r="H797">
        <v>1826</v>
      </c>
      <c r="I797">
        <v>87</v>
      </c>
      <c r="J797">
        <v>13.8</v>
      </c>
      <c r="K797">
        <v>457</v>
      </c>
      <c r="L797">
        <v>0.95208333333333328</v>
      </c>
      <c r="M797">
        <v>0.96277899343544859</v>
      </c>
      <c r="N797">
        <v>0.95452169367485629</v>
      </c>
      <c r="O797">
        <v>0.87495833333333328</v>
      </c>
    </row>
    <row r="798" spans="1:15" x14ac:dyDescent="0.3">
      <c r="A798">
        <v>797</v>
      </c>
      <c r="B798" s="1">
        <v>45724</v>
      </c>
      <c r="C798" t="s">
        <v>20</v>
      </c>
      <c r="D798" t="s">
        <v>16</v>
      </c>
      <c r="E798">
        <v>480</v>
      </c>
      <c r="F798">
        <v>187</v>
      </c>
      <c r="G798">
        <v>1323</v>
      </c>
      <c r="H798">
        <v>1291</v>
      </c>
      <c r="I798">
        <v>32</v>
      </c>
      <c r="J798">
        <v>12</v>
      </c>
      <c r="K798">
        <v>293</v>
      </c>
      <c r="L798">
        <v>0.61041666666666672</v>
      </c>
      <c r="M798">
        <v>0.90307167235494878</v>
      </c>
      <c r="N798">
        <v>0.97581254724111866</v>
      </c>
      <c r="O798">
        <v>0.53791666666666671</v>
      </c>
    </row>
    <row r="799" spans="1:15" x14ac:dyDescent="0.3">
      <c r="A799">
        <v>798</v>
      </c>
      <c r="B799" s="1">
        <v>45724</v>
      </c>
      <c r="C799" t="s">
        <v>20</v>
      </c>
      <c r="D799" t="s">
        <v>17</v>
      </c>
      <c r="E799">
        <v>480</v>
      </c>
      <c r="F799">
        <v>11</v>
      </c>
      <c r="G799">
        <v>2007</v>
      </c>
      <c r="H799">
        <v>1963</v>
      </c>
      <c r="I799">
        <v>44</v>
      </c>
      <c r="J799">
        <v>12.6</v>
      </c>
      <c r="K799">
        <v>469</v>
      </c>
      <c r="L799">
        <v>0.9770833333333333</v>
      </c>
      <c r="M799">
        <v>0.89865671641791045</v>
      </c>
      <c r="N799">
        <v>0.9780767314399601</v>
      </c>
      <c r="O799">
        <v>0.85881249999999998</v>
      </c>
    </row>
    <row r="800" spans="1:15" x14ac:dyDescent="0.3">
      <c r="A800">
        <v>799</v>
      </c>
      <c r="B800" s="1">
        <v>45724</v>
      </c>
      <c r="C800" t="s">
        <v>20</v>
      </c>
      <c r="D800" t="s">
        <v>18</v>
      </c>
      <c r="E800">
        <v>480</v>
      </c>
      <c r="F800">
        <v>250</v>
      </c>
      <c r="G800">
        <v>841</v>
      </c>
      <c r="H800">
        <v>821</v>
      </c>
      <c r="I800">
        <v>20</v>
      </c>
      <c r="J800">
        <v>13.2</v>
      </c>
      <c r="K800">
        <v>230</v>
      </c>
      <c r="L800">
        <v>0.47916666666666669</v>
      </c>
      <c r="M800">
        <v>0.80443478260869561</v>
      </c>
      <c r="N800">
        <v>0.97621878715814503</v>
      </c>
      <c r="O800">
        <v>0.37629166666666669</v>
      </c>
    </row>
    <row r="801" spans="1:15" x14ac:dyDescent="0.3">
      <c r="A801">
        <v>800</v>
      </c>
      <c r="B801" s="1">
        <v>45724</v>
      </c>
      <c r="C801" t="s">
        <v>20</v>
      </c>
      <c r="D801" t="s">
        <v>19</v>
      </c>
      <c r="E801">
        <v>480</v>
      </c>
      <c r="F801">
        <v>95</v>
      </c>
      <c r="G801">
        <v>1627</v>
      </c>
      <c r="H801">
        <v>1583</v>
      </c>
      <c r="I801">
        <v>44</v>
      </c>
      <c r="J801">
        <v>13.8</v>
      </c>
      <c r="K801">
        <v>385</v>
      </c>
      <c r="L801">
        <v>0.80208333333333337</v>
      </c>
      <c r="M801">
        <v>0.97197402597402605</v>
      </c>
      <c r="N801">
        <v>0.97295636140135222</v>
      </c>
      <c r="O801">
        <v>0.75852083333333342</v>
      </c>
    </row>
    <row r="802" spans="1:15" x14ac:dyDescent="0.3">
      <c r="A802">
        <v>801</v>
      </c>
      <c r="B802" s="1">
        <v>45724</v>
      </c>
      <c r="C802" t="s">
        <v>21</v>
      </c>
      <c r="D802" t="s">
        <v>16</v>
      </c>
      <c r="E802">
        <v>480</v>
      </c>
      <c r="F802">
        <v>52</v>
      </c>
      <c r="G802">
        <v>1677</v>
      </c>
      <c r="H802">
        <v>1647</v>
      </c>
      <c r="I802">
        <v>30</v>
      </c>
      <c r="J802">
        <v>12</v>
      </c>
      <c r="K802">
        <v>428</v>
      </c>
      <c r="L802">
        <v>0.89166666666666672</v>
      </c>
      <c r="M802">
        <v>0.78364485981308407</v>
      </c>
      <c r="N802">
        <v>0.98211091234347048</v>
      </c>
      <c r="O802">
        <v>0.68625000000000003</v>
      </c>
    </row>
    <row r="803" spans="1:15" x14ac:dyDescent="0.3">
      <c r="A803">
        <v>802</v>
      </c>
      <c r="B803" s="1">
        <v>45724</v>
      </c>
      <c r="C803" t="s">
        <v>21</v>
      </c>
      <c r="D803" t="s">
        <v>17</v>
      </c>
      <c r="E803">
        <v>480</v>
      </c>
      <c r="F803">
        <v>40</v>
      </c>
      <c r="G803">
        <v>1962</v>
      </c>
      <c r="H803">
        <v>1904</v>
      </c>
      <c r="I803">
        <v>58</v>
      </c>
      <c r="J803">
        <v>12.6</v>
      </c>
      <c r="K803">
        <v>440</v>
      </c>
      <c r="L803">
        <v>0.91666666666666663</v>
      </c>
      <c r="M803">
        <v>0.93640909090909097</v>
      </c>
      <c r="N803">
        <v>0.97043832823649334</v>
      </c>
      <c r="O803">
        <v>0.83299999999999996</v>
      </c>
    </row>
    <row r="804" spans="1:15" x14ac:dyDescent="0.3">
      <c r="A804">
        <v>803</v>
      </c>
      <c r="B804" s="1">
        <v>45724</v>
      </c>
      <c r="C804" t="s">
        <v>21</v>
      </c>
      <c r="D804" t="s">
        <v>18</v>
      </c>
      <c r="E804">
        <v>480</v>
      </c>
      <c r="F804">
        <v>206</v>
      </c>
      <c r="G804">
        <v>991</v>
      </c>
      <c r="H804">
        <v>942</v>
      </c>
      <c r="I804">
        <v>49</v>
      </c>
      <c r="J804">
        <v>13.2</v>
      </c>
      <c r="K804">
        <v>274</v>
      </c>
      <c r="L804">
        <v>0.5708333333333333</v>
      </c>
      <c r="M804">
        <v>0.79569343065693421</v>
      </c>
      <c r="N804">
        <v>0.95055499495459128</v>
      </c>
      <c r="O804">
        <v>0.43174999999999991</v>
      </c>
    </row>
    <row r="805" spans="1:15" x14ac:dyDescent="0.3">
      <c r="A805">
        <v>804</v>
      </c>
      <c r="B805" s="1">
        <v>45724</v>
      </c>
      <c r="C805" t="s">
        <v>21</v>
      </c>
      <c r="D805" t="s">
        <v>19</v>
      </c>
      <c r="E805">
        <v>480</v>
      </c>
      <c r="F805">
        <v>199</v>
      </c>
      <c r="G805">
        <v>928</v>
      </c>
      <c r="H805">
        <v>913</v>
      </c>
      <c r="I805">
        <v>15</v>
      </c>
      <c r="J805">
        <v>13.8</v>
      </c>
      <c r="K805">
        <v>281</v>
      </c>
      <c r="L805">
        <v>0.5854166666666667</v>
      </c>
      <c r="M805">
        <v>0.7595729537366549</v>
      </c>
      <c r="N805">
        <v>0.98383620689655171</v>
      </c>
      <c r="O805">
        <v>0.43747916666666675</v>
      </c>
    </row>
    <row r="806" spans="1:15" x14ac:dyDescent="0.3">
      <c r="A806">
        <v>805</v>
      </c>
      <c r="B806" s="1">
        <v>45725</v>
      </c>
      <c r="C806" t="s">
        <v>15</v>
      </c>
      <c r="D806" t="s">
        <v>16</v>
      </c>
      <c r="E806">
        <v>480</v>
      </c>
      <c r="F806">
        <v>0</v>
      </c>
      <c r="G806">
        <v>2112</v>
      </c>
      <c r="H806">
        <v>1993</v>
      </c>
      <c r="I806">
        <v>119</v>
      </c>
      <c r="J806">
        <v>12</v>
      </c>
      <c r="K806">
        <v>480</v>
      </c>
      <c r="L806">
        <v>1</v>
      </c>
      <c r="M806">
        <v>0.88</v>
      </c>
      <c r="N806">
        <v>0.94365530303030298</v>
      </c>
      <c r="O806">
        <v>0.83041666666666658</v>
      </c>
    </row>
    <row r="807" spans="1:15" x14ac:dyDescent="0.3">
      <c r="A807">
        <v>806</v>
      </c>
      <c r="B807" s="1">
        <v>45725</v>
      </c>
      <c r="C807" t="s">
        <v>15</v>
      </c>
      <c r="D807" t="s">
        <v>17</v>
      </c>
      <c r="E807">
        <v>480</v>
      </c>
      <c r="F807">
        <v>17</v>
      </c>
      <c r="G807">
        <v>2000</v>
      </c>
      <c r="H807">
        <v>1930</v>
      </c>
      <c r="I807">
        <v>70</v>
      </c>
      <c r="J807">
        <v>12.6</v>
      </c>
      <c r="K807">
        <v>463</v>
      </c>
      <c r="L807">
        <v>0.96458333333333335</v>
      </c>
      <c r="M807">
        <v>0.90712742980561556</v>
      </c>
      <c r="N807">
        <v>0.96499999999999997</v>
      </c>
      <c r="O807">
        <v>0.84437499999999999</v>
      </c>
    </row>
    <row r="808" spans="1:15" x14ac:dyDescent="0.3">
      <c r="A808">
        <v>807</v>
      </c>
      <c r="B808" s="1">
        <v>45725</v>
      </c>
      <c r="C808" t="s">
        <v>15</v>
      </c>
      <c r="D808" t="s">
        <v>18</v>
      </c>
      <c r="E808">
        <v>480</v>
      </c>
      <c r="F808">
        <v>28</v>
      </c>
      <c r="G808">
        <v>1615</v>
      </c>
      <c r="H808">
        <v>1522</v>
      </c>
      <c r="I808">
        <v>93</v>
      </c>
      <c r="J808">
        <v>13.2</v>
      </c>
      <c r="K808">
        <v>452</v>
      </c>
      <c r="L808">
        <v>0.94166666666666665</v>
      </c>
      <c r="M808">
        <v>0.78606194690265485</v>
      </c>
      <c r="N808">
        <v>0.94241486068111457</v>
      </c>
      <c r="O808">
        <v>0.69758333333333333</v>
      </c>
    </row>
    <row r="809" spans="1:15" x14ac:dyDescent="0.3">
      <c r="A809">
        <v>808</v>
      </c>
      <c r="B809" s="1">
        <v>45725</v>
      </c>
      <c r="C809" t="s">
        <v>15</v>
      </c>
      <c r="D809" t="s">
        <v>19</v>
      </c>
      <c r="E809">
        <v>480</v>
      </c>
      <c r="F809">
        <v>8</v>
      </c>
      <c r="G809">
        <v>1918</v>
      </c>
      <c r="H809">
        <v>1821</v>
      </c>
      <c r="I809">
        <v>97</v>
      </c>
      <c r="J809">
        <v>13.8</v>
      </c>
      <c r="K809">
        <v>472</v>
      </c>
      <c r="L809">
        <v>0.98333333333333328</v>
      </c>
      <c r="M809">
        <v>0.93461864406779671</v>
      </c>
      <c r="N809">
        <v>0.94942648592283629</v>
      </c>
      <c r="O809">
        <v>0.87256250000000013</v>
      </c>
    </row>
    <row r="810" spans="1:15" x14ac:dyDescent="0.3">
      <c r="A810">
        <v>809</v>
      </c>
      <c r="B810" s="1">
        <v>45725</v>
      </c>
      <c r="C810" t="s">
        <v>20</v>
      </c>
      <c r="D810" t="s">
        <v>16</v>
      </c>
      <c r="E810">
        <v>480</v>
      </c>
      <c r="F810">
        <v>78</v>
      </c>
      <c r="G810">
        <v>1903</v>
      </c>
      <c r="H810">
        <v>1875</v>
      </c>
      <c r="I810">
        <v>28</v>
      </c>
      <c r="J810">
        <v>12</v>
      </c>
      <c r="K810">
        <v>402</v>
      </c>
      <c r="L810">
        <v>0.83750000000000002</v>
      </c>
      <c r="M810">
        <v>0.94676616915422884</v>
      </c>
      <c r="N810">
        <v>0.98528638991066742</v>
      </c>
      <c r="O810">
        <v>0.78125000000000011</v>
      </c>
    </row>
    <row r="811" spans="1:15" x14ac:dyDescent="0.3">
      <c r="A811">
        <v>810</v>
      </c>
      <c r="B811" s="1">
        <v>45725</v>
      </c>
      <c r="C811" t="s">
        <v>20</v>
      </c>
      <c r="D811" t="s">
        <v>17</v>
      </c>
      <c r="E811">
        <v>480</v>
      </c>
      <c r="F811">
        <v>0</v>
      </c>
      <c r="G811">
        <v>1852</v>
      </c>
      <c r="H811">
        <v>1753</v>
      </c>
      <c r="I811">
        <v>99</v>
      </c>
      <c r="J811">
        <v>12.6</v>
      </c>
      <c r="K811">
        <v>480</v>
      </c>
      <c r="L811">
        <v>1</v>
      </c>
      <c r="M811">
        <v>0.81025000000000003</v>
      </c>
      <c r="N811">
        <v>0.94654427645788342</v>
      </c>
      <c r="O811">
        <v>0.76693750000000005</v>
      </c>
    </row>
    <row r="812" spans="1:15" x14ac:dyDescent="0.3">
      <c r="A812">
        <v>811</v>
      </c>
      <c r="B812" s="1">
        <v>45725</v>
      </c>
      <c r="C812" t="s">
        <v>20</v>
      </c>
      <c r="D812" t="s">
        <v>18</v>
      </c>
      <c r="E812">
        <v>480</v>
      </c>
      <c r="F812">
        <v>0</v>
      </c>
      <c r="G812">
        <v>1997</v>
      </c>
      <c r="H812">
        <v>1967</v>
      </c>
      <c r="I812">
        <v>30</v>
      </c>
      <c r="J812">
        <v>13.2</v>
      </c>
      <c r="K812">
        <v>480</v>
      </c>
      <c r="L812">
        <v>1</v>
      </c>
      <c r="M812">
        <v>0.91529166666666661</v>
      </c>
      <c r="N812">
        <v>0.98497746619929893</v>
      </c>
      <c r="O812">
        <v>0.90154166666666657</v>
      </c>
    </row>
    <row r="813" spans="1:15" x14ac:dyDescent="0.3">
      <c r="A813">
        <v>812</v>
      </c>
      <c r="B813" s="1">
        <v>45725</v>
      </c>
      <c r="C813" t="s">
        <v>20</v>
      </c>
      <c r="D813" t="s">
        <v>19</v>
      </c>
      <c r="E813">
        <v>480</v>
      </c>
      <c r="F813">
        <v>5</v>
      </c>
      <c r="G813">
        <v>1852</v>
      </c>
      <c r="H813">
        <v>1812</v>
      </c>
      <c r="I813">
        <v>40</v>
      </c>
      <c r="J813">
        <v>13.8</v>
      </c>
      <c r="K813">
        <v>475</v>
      </c>
      <c r="L813">
        <v>0.98958333333333337</v>
      </c>
      <c r="M813">
        <v>0.8967578947368422</v>
      </c>
      <c r="N813">
        <v>0.97840172786177104</v>
      </c>
      <c r="O813">
        <v>0.86825000000000008</v>
      </c>
    </row>
    <row r="814" spans="1:15" x14ac:dyDescent="0.3">
      <c r="A814">
        <v>813</v>
      </c>
      <c r="B814" s="1">
        <v>45725</v>
      </c>
      <c r="C814" t="s">
        <v>21</v>
      </c>
      <c r="D814" t="s">
        <v>16</v>
      </c>
      <c r="E814">
        <v>480</v>
      </c>
      <c r="F814">
        <v>47</v>
      </c>
      <c r="G814">
        <v>1703</v>
      </c>
      <c r="H814">
        <v>1627</v>
      </c>
      <c r="I814">
        <v>76</v>
      </c>
      <c r="J814">
        <v>12</v>
      </c>
      <c r="K814">
        <v>433</v>
      </c>
      <c r="L814">
        <v>0.90208333333333335</v>
      </c>
      <c r="M814">
        <v>0.78660508083140879</v>
      </c>
      <c r="N814">
        <v>0.95537287140340577</v>
      </c>
      <c r="O814">
        <v>0.67791666666666672</v>
      </c>
    </row>
    <row r="815" spans="1:15" x14ac:dyDescent="0.3">
      <c r="A815">
        <v>814</v>
      </c>
      <c r="B815" s="1">
        <v>45725</v>
      </c>
      <c r="C815" t="s">
        <v>21</v>
      </c>
      <c r="D815" t="s">
        <v>17</v>
      </c>
      <c r="E815">
        <v>480</v>
      </c>
      <c r="F815">
        <v>33</v>
      </c>
      <c r="G815">
        <v>2054</v>
      </c>
      <c r="H815">
        <v>1981</v>
      </c>
      <c r="I815">
        <v>73</v>
      </c>
      <c r="J815">
        <v>12.6</v>
      </c>
      <c r="K815">
        <v>447</v>
      </c>
      <c r="L815">
        <v>0.93125000000000002</v>
      </c>
      <c r="M815">
        <v>0.96496644295302003</v>
      </c>
      <c r="N815">
        <v>0.96445959104186951</v>
      </c>
      <c r="O815">
        <v>0.86668749999999994</v>
      </c>
    </row>
    <row r="816" spans="1:15" x14ac:dyDescent="0.3">
      <c r="A816">
        <v>815</v>
      </c>
      <c r="B816" s="1">
        <v>45725</v>
      </c>
      <c r="C816" t="s">
        <v>21</v>
      </c>
      <c r="D816" t="s">
        <v>18</v>
      </c>
      <c r="E816">
        <v>480</v>
      </c>
      <c r="F816">
        <v>23</v>
      </c>
      <c r="G816">
        <v>1962</v>
      </c>
      <c r="H816">
        <v>1861</v>
      </c>
      <c r="I816">
        <v>101</v>
      </c>
      <c r="J816">
        <v>13.2</v>
      </c>
      <c r="K816">
        <v>457</v>
      </c>
      <c r="L816">
        <v>0.95208333333333328</v>
      </c>
      <c r="M816">
        <v>0.94450765864332598</v>
      </c>
      <c r="N816">
        <v>0.94852191641182471</v>
      </c>
      <c r="O816">
        <v>0.85295833333333326</v>
      </c>
    </row>
    <row r="817" spans="1:15" x14ac:dyDescent="0.3">
      <c r="A817">
        <v>816</v>
      </c>
      <c r="B817" s="1">
        <v>45725</v>
      </c>
      <c r="C817" t="s">
        <v>21</v>
      </c>
      <c r="D817" t="s">
        <v>19</v>
      </c>
      <c r="E817">
        <v>480</v>
      </c>
      <c r="F817">
        <v>17</v>
      </c>
      <c r="G817">
        <v>1620</v>
      </c>
      <c r="H817">
        <v>1540</v>
      </c>
      <c r="I817">
        <v>80</v>
      </c>
      <c r="J817">
        <v>13.8</v>
      </c>
      <c r="K817">
        <v>463</v>
      </c>
      <c r="L817">
        <v>0.96458333333333335</v>
      </c>
      <c r="M817">
        <v>0.80475161987041033</v>
      </c>
      <c r="N817">
        <v>0.95061728395061729</v>
      </c>
      <c r="O817">
        <v>0.73791666666666667</v>
      </c>
    </row>
    <row r="818" spans="1:15" x14ac:dyDescent="0.3">
      <c r="A818">
        <v>817</v>
      </c>
      <c r="B818" s="1">
        <v>45726</v>
      </c>
      <c r="C818" t="s">
        <v>15</v>
      </c>
      <c r="D818" t="s">
        <v>16</v>
      </c>
      <c r="E818">
        <v>480</v>
      </c>
      <c r="F818">
        <v>12</v>
      </c>
      <c r="G818">
        <v>2265</v>
      </c>
      <c r="H818">
        <v>2208</v>
      </c>
      <c r="I818">
        <v>57</v>
      </c>
      <c r="J818">
        <v>12</v>
      </c>
      <c r="K818">
        <v>468</v>
      </c>
      <c r="L818">
        <v>0.97499999999999998</v>
      </c>
      <c r="M818">
        <v>0.96794871794871795</v>
      </c>
      <c r="N818">
        <v>0.97483443708609274</v>
      </c>
      <c r="O818">
        <v>0.92</v>
      </c>
    </row>
    <row r="819" spans="1:15" x14ac:dyDescent="0.3">
      <c r="A819">
        <v>818</v>
      </c>
      <c r="B819" s="1">
        <v>45726</v>
      </c>
      <c r="C819" t="s">
        <v>15</v>
      </c>
      <c r="D819" t="s">
        <v>17</v>
      </c>
      <c r="E819">
        <v>480</v>
      </c>
      <c r="F819">
        <v>0</v>
      </c>
      <c r="G819">
        <v>1956</v>
      </c>
      <c r="H819">
        <v>1907</v>
      </c>
      <c r="I819">
        <v>49</v>
      </c>
      <c r="J819">
        <v>12.6</v>
      </c>
      <c r="K819">
        <v>480</v>
      </c>
      <c r="L819">
        <v>1</v>
      </c>
      <c r="M819">
        <v>0.8557499999999999</v>
      </c>
      <c r="N819">
        <v>0.97494887525562368</v>
      </c>
      <c r="O819">
        <v>0.8343124999999999</v>
      </c>
    </row>
    <row r="820" spans="1:15" x14ac:dyDescent="0.3">
      <c r="A820">
        <v>819</v>
      </c>
      <c r="B820" s="1">
        <v>45726</v>
      </c>
      <c r="C820" t="s">
        <v>15</v>
      </c>
      <c r="D820" t="s">
        <v>18</v>
      </c>
      <c r="E820">
        <v>480</v>
      </c>
      <c r="F820">
        <v>0</v>
      </c>
      <c r="G820">
        <v>1798</v>
      </c>
      <c r="H820">
        <v>1732</v>
      </c>
      <c r="I820">
        <v>66</v>
      </c>
      <c r="J820">
        <v>13.2</v>
      </c>
      <c r="K820">
        <v>480</v>
      </c>
      <c r="L820">
        <v>1</v>
      </c>
      <c r="M820">
        <v>0.82408333333333328</v>
      </c>
      <c r="N820">
        <v>0.96329254727474967</v>
      </c>
      <c r="O820">
        <v>0.79383333333333328</v>
      </c>
    </row>
    <row r="821" spans="1:15" x14ac:dyDescent="0.3">
      <c r="A821">
        <v>820</v>
      </c>
      <c r="B821" s="1">
        <v>45726</v>
      </c>
      <c r="C821" t="s">
        <v>15</v>
      </c>
      <c r="D821" t="s">
        <v>19</v>
      </c>
      <c r="E821">
        <v>480</v>
      </c>
      <c r="F821">
        <v>67</v>
      </c>
      <c r="G821">
        <v>1502</v>
      </c>
      <c r="H821">
        <v>1468</v>
      </c>
      <c r="I821">
        <v>34</v>
      </c>
      <c r="J821">
        <v>13.8</v>
      </c>
      <c r="K821">
        <v>413</v>
      </c>
      <c r="L821">
        <v>0.86041666666666672</v>
      </c>
      <c r="M821">
        <v>0.83646489104116228</v>
      </c>
      <c r="N821">
        <v>0.9773635153129161</v>
      </c>
      <c r="O821">
        <v>0.70341666666666669</v>
      </c>
    </row>
    <row r="822" spans="1:15" x14ac:dyDescent="0.3">
      <c r="A822">
        <v>821</v>
      </c>
      <c r="B822" s="1">
        <v>45726</v>
      </c>
      <c r="C822" t="s">
        <v>20</v>
      </c>
      <c r="D822" t="s">
        <v>16</v>
      </c>
      <c r="E822">
        <v>480</v>
      </c>
      <c r="F822">
        <v>5</v>
      </c>
      <c r="G822">
        <v>2168</v>
      </c>
      <c r="H822">
        <v>2145</v>
      </c>
      <c r="I822">
        <v>23</v>
      </c>
      <c r="J822">
        <v>12</v>
      </c>
      <c r="K822">
        <v>475</v>
      </c>
      <c r="L822">
        <v>0.98958333333333337</v>
      </c>
      <c r="M822">
        <v>0.9128421052631579</v>
      </c>
      <c r="N822">
        <v>0.98939114391143912</v>
      </c>
      <c r="O822">
        <v>0.89375000000000004</v>
      </c>
    </row>
    <row r="823" spans="1:15" x14ac:dyDescent="0.3">
      <c r="A823">
        <v>822</v>
      </c>
      <c r="B823" s="1">
        <v>45726</v>
      </c>
      <c r="C823" t="s">
        <v>20</v>
      </c>
      <c r="D823" t="s">
        <v>17</v>
      </c>
      <c r="E823">
        <v>480</v>
      </c>
      <c r="F823">
        <v>10</v>
      </c>
      <c r="G823">
        <v>2117</v>
      </c>
      <c r="H823">
        <v>2075</v>
      </c>
      <c r="I823">
        <v>42</v>
      </c>
      <c r="J823">
        <v>12.6</v>
      </c>
      <c r="K823">
        <v>470</v>
      </c>
      <c r="L823">
        <v>0.97916666666666663</v>
      </c>
      <c r="M823">
        <v>0.94589361702127661</v>
      </c>
      <c r="N823">
        <v>0.9801606046291923</v>
      </c>
      <c r="O823">
        <v>0.90781250000000002</v>
      </c>
    </row>
    <row r="824" spans="1:15" x14ac:dyDescent="0.3">
      <c r="A824">
        <v>823</v>
      </c>
      <c r="B824" s="1">
        <v>45726</v>
      </c>
      <c r="C824" t="s">
        <v>20</v>
      </c>
      <c r="D824" t="s">
        <v>18</v>
      </c>
      <c r="E824">
        <v>480</v>
      </c>
      <c r="F824">
        <v>114</v>
      </c>
      <c r="G824">
        <v>1436</v>
      </c>
      <c r="H824">
        <v>1416</v>
      </c>
      <c r="I824">
        <v>20</v>
      </c>
      <c r="J824">
        <v>13.2</v>
      </c>
      <c r="K824">
        <v>366</v>
      </c>
      <c r="L824">
        <v>0.76249999999999996</v>
      </c>
      <c r="M824">
        <v>0.86316939890710387</v>
      </c>
      <c r="N824">
        <v>0.98607242339832868</v>
      </c>
      <c r="O824">
        <v>0.64900000000000002</v>
      </c>
    </row>
    <row r="825" spans="1:15" x14ac:dyDescent="0.3">
      <c r="A825">
        <v>824</v>
      </c>
      <c r="B825" s="1">
        <v>45726</v>
      </c>
      <c r="C825" t="s">
        <v>20</v>
      </c>
      <c r="D825" t="s">
        <v>19</v>
      </c>
      <c r="E825">
        <v>480</v>
      </c>
      <c r="F825">
        <v>0</v>
      </c>
      <c r="G825">
        <v>2018</v>
      </c>
      <c r="H825">
        <v>1900</v>
      </c>
      <c r="I825">
        <v>118</v>
      </c>
      <c r="J825">
        <v>13.8</v>
      </c>
      <c r="K825">
        <v>480</v>
      </c>
      <c r="L825">
        <v>1</v>
      </c>
      <c r="M825">
        <v>0.96695833333333336</v>
      </c>
      <c r="N825">
        <v>0.94152626362735381</v>
      </c>
      <c r="O825">
        <v>0.91041666666666665</v>
      </c>
    </row>
    <row r="826" spans="1:15" x14ac:dyDescent="0.3">
      <c r="A826">
        <v>825</v>
      </c>
      <c r="B826" s="1">
        <v>45726</v>
      </c>
      <c r="C826" t="s">
        <v>21</v>
      </c>
      <c r="D826" t="s">
        <v>16</v>
      </c>
      <c r="E826">
        <v>480</v>
      </c>
      <c r="F826">
        <v>189</v>
      </c>
      <c r="G826">
        <v>1179</v>
      </c>
      <c r="H826">
        <v>1128</v>
      </c>
      <c r="I826">
        <v>51</v>
      </c>
      <c r="J826">
        <v>12</v>
      </c>
      <c r="K826">
        <v>291</v>
      </c>
      <c r="L826">
        <v>0.60624999999999996</v>
      </c>
      <c r="M826">
        <v>0.81030927835051547</v>
      </c>
      <c r="N826">
        <v>0.95674300254452926</v>
      </c>
      <c r="O826">
        <v>0.47</v>
      </c>
    </row>
    <row r="827" spans="1:15" x14ac:dyDescent="0.3">
      <c r="A827">
        <v>826</v>
      </c>
      <c r="B827" s="1">
        <v>45726</v>
      </c>
      <c r="C827" t="s">
        <v>21</v>
      </c>
      <c r="D827" t="s">
        <v>17</v>
      </c>
      <c r="E827">
        <v>480</v>
      </c>
      <c r="F827">
        <v>0</v>
      </c>
      <c r="G827">
        <v>1774</v>
      </c>
      <c r="H827">
        <v>1756</v>
      </c>
      <c r="I827">
        <v>18</v>
      </c>
      <c r="J827">
        <v>12.6</v>
      </c>
      <c r="K827">
        <v>480</v>
      </c>
      <c r="L827">
        <v>1</v>
      </c>
      <c r="M827">
        <v>0.77612499999999995</v>
      </c>
      <c r="N827">
        <v>0.98985343855693353</v>
      </c>
      <c r="O827">
        <v>0.76824999999999999</v>
      </c>
    </row>
    <row r="828" spans="1:15" x14ac:dyDescent="0.3">
      <c r="A828">
        <v>827</v>
      </c>
      <c r="B828" s="1">
        <v>45726</v>
      </c>
      <c r="C828" t="s">
        <v>21</v>
      </c>
      <c r="D828" t="s">
        <v>18</v>
      </c>
      <c r="E828">
        <v>480</v>
      </c>
      <c r="F828">
        <v>53</v>
      </c>
      <c r="G828">
        <v>1638</v>
      </c>
      <c r="H828">
        <v>1546</v>
      </c>
      <c r="I828">
        <v>92</v>
      </c>
      <c r="J828">
        <v>13.2</v>
      </c>
      <c r="K828">
        <v>427</v>
      </c>
      <c r="L828">
        <v>0.88958333333333328</v>
      </c>
      <c r="M828">
        <v>0.84393442622950809</v>
      </c>
      <c r="N828">
        <v>0.94383394383394381</v>
      </c>
      <c r="O828">
        <v>0.70858333333333323</v>
      </c>
    </row>
    <row r="829" spans="1:15" x14ac:dyDescent="0.3">
      <c r="A829">
        <v>828</v>
      </c>
      <c r="B829" s="1">
        <v>45726</v>
      </c>
      <c r="C829" t="s">
        <v>21</v>
      </c>
      <c r="D829" t="s">
        <v>19</v>
      </c>
      <c r="E829">
        <v>480</v>
      </c>
      <c r="F829">
        <v>111</v>
      </c>
      <c r="G829">
        <v>1433</v>
      </c>
      <c r="H829">
        <v>1351</v>
      </c>
      <c r="I829">
        <v>82</v>
      </c>
      <c r="J829">
        <v>13.8</v>
      </c>
      <c r="K829">
        <v>369</v>
      </c>
      <c r="L829">
        <v>0.76875000000000004</v>
      </c>
      <c r="M829">
        <v>0.89319783197831981</v>
      </c>
      <c r="N829">
        <v>0.94277739009071881</v>
      </c>
      <c r="O829">
        <v>0.64735416666666679</v>
      </c>
    </row>
    <row r="830" spans="1:15" x14ac:dyDescent="0.3">
      <c r="A830">
        <v>829</v>
      </c>
      <c r="B830" s="1">
        <v>45727</v>
      </c>
      <c r="C830" t="s">
        <v>15</v>
      </c>
      <c r="D830" t="s">
        <v>16</v>
      </c>
      <c r="E830">
        <v>480</v>
      </c>
      <c r="F830">
        <v>70</v>
      </c>
      <c r="G830">
        <v>1878</v>
      </c>
      <c r="H830">
        <v>1847</v>
      </c>
      <c r="I830">
        <v>31</v>
      </c>
      <c r="J830">
        <v>12</v>
      </c>
      <c r="K830">
        <v>410</v>
      </c>
      <c r="L830">
        <v>0.85416666666666663</v>
      </c>
      <c r="M830">
        <v>0.91609756097560979</v>
      </c>
      <c r="N830">
        <v>0.98349307774227901</v>
      </c>
      <c r="O830">
        <v>0.76958333333333329</v>
      </c>
    </row>
    <row r="831" spans="1:15" x14ac:dyDescent="0.3">
      <c r="A831">
        <v>830</v>
      </c>
      <c r="B831" s="1">
        <v>45727</v>
      </c>
      <c r="C831" t="s">
        <v>15</v>
      </c>
      <c r="D831" t="s">
        <v>17</v>
      </c>
      <c r="E831">
        <v>480</v>
      </c>
      <c r="F831">
        <v>12</v>
      </c>
      <c r="G831">
        <v>1862</v>
      </c>
      <c r="H831">
        <v>1820</v>
      </c>
      <c r="I831">
        <v>42</v>
      </c>
      <c r="J831">
        <v>12.6</v>
      </c>
      <c r="K831">
        <v>468</v>
      </c>
      <c r="L831">
        <v>0.97499999999999998</v>
      </c>
      <c r="M831">
        <v>0.8355128205128205</v>
      </c>
      <c r="N831">
        <v>0.97744360902255634</v>
      </c>
      <c r="O831">
        <v>0.7962499999999999</v>
      </c>
    </row>
    <row r="832" spans="1:15" x14ac:dyDescent="0.3">
      <c r="A832">
        <v>831</v>
      </c>
      <c r="B832" s="1">
        <v>45727</v>
      </c>
      <c r="C832" t="s">
        <v>15</v>
      </c>
      <c r="D832" t="s">
        <v>18</v>
      </c>
      <c r="E832">
        <v>480</v>
      </c>
      <c r="F832">
        <v>5</v>
      </c>
      <c r="G832">
        <v>1689</v>
      </c>
      <c r="H832">
        <v>1668</v>
      </c>
      <c r="I832">
        <v>21</v>
      </c>
      <c r="J832">
        <v>13.2</v>
      </c>
      <c r="K832">
        <v>475</v>
      </c>
      <c r="L832">
        <v>0.98958333333333337</v>
      </c>
      <c r="M832">
        <v>0.78227368421052634</v>
      </c>
      <c r="N832">
        <v>0.98756660746003555</v>
      </c>
      <c r="O832">
        <v>0.76450000000000007</v>
      </c>
    </row>
    <row r="833" spans="1:15" x14ac:dyDescent="0.3">
      <c r="A833">
        <v>832</v>
      </c>
      <c r="B833" s="1">
        <v>45727</v>
      </c>
      <c r="C833" t="s">
        <v>15</v>
      </c>
      <c r="D833" t="s">
        <v>19</v>
      </c>
      <c r="E833">
        <v>480</v>
      </c>
      <c r="F833">
        <v>10</v>
      </c>
      <c r="G833">
        <v>1780</v>
      </c>
      <c r="H833">
        <v>1713</v>
      </c>
      <c r="I833">
        <v>67</v>
      </c>
      <c r="J833">
        <v>13.8</v>
      </c>
      <c r="K833">
        <v>470</v>
      </c>
      <c r="L833">
        <v>0.97916666666666663</v>
      </c>
      <c r="M833">
        <v>0.87106382978723407</v>
      </c>
      <c r="N833">
        <v>0.96235955056179778</v>
      </c>
      <c r="O833">
        <v>0.82081250000000006</v>
      </c>
    </row>
    <row r="834" spans="1:15" x14ac:dyDescent="0.3">
      <c r="A834">
        <v>833</v>
      </c>
      <c r="B834" s="1">
        <v>45727</v>
      </c>
      <c r="C834" t="s">
        <v>20</v>
      </c>
      <c r="D834" t="s">
        <v>16</v>
      </c>
      <c r="E834">
        <v>480</v>
      </c>
      <c r="F834">
        <v>0</v>
      </c>
      <c r="G834">
        <v>1909</v>
      </c>
      <c r="H834">
        <v>1860</v>
      </c>
      <c r="I834">
        <v>49</v>
      </c>
      <c r="J834">
        <v>12</v>
      </c>
      <c r="K834">
        <v>480</v>
      </c>
      <c r="L834">
        <v>1</v>
      </c>
      <c r="M834">
        <v>0.79541666666666666</v>
      </c>
      <c r="N834">
        <v>0.97433211105290729</v>
      </c>
      <c r="O834">
        <v>0.77500000000000002</v>
      </c>
    </row>
    <row r="835" spans="1:15" x14ac:dyDescent="0.3">
      <c r="A835">
        <v>834</v>
      </c>
      <c r="B835" s="1">
        <v>45727</v>
      </c>
      <c r="C835" t="s">
        <v>20</v>
      </c>
      <c r="D835" t="s">
        <v>17</v>
      </c>
      <c r="E835">
        <v>480</v>
      </c>
      <c r="F835">
        <v>157</v>
      </c>
      <c r="G835">
        <v>1161</v>
      </c>
      <c r="H835">
        <v>1103</v>
      </c>
      <c r="I835">
        <v>58</v>
      </c>
      <c r="J835">
        <v>12.6</v>
      </c>
      <c r="K835">
        <v>323</v>
      </c>
      <c r="L835">
        <v>0.67291666666666672</v>
      </c>
      <c r="M835">
        <v>0.75482972136222914</v>
      </c>
      <c r="N835">
        <v>0.95004306632213609</v>
      </c>
      <c r="O835">
        <v>0.48256250000000006</v>
      </c>
    </row>
    <row r="836" spans="1:15" x14ac:dyDescent="0.3">
      <c r="A836">
        <v>835</v>
      </c>
      <c r="B836" s="1">
        <v>45727</v>
      </c>
      <c r="C836" t="s">
        <v>20</v>
      </c>
      <c r="D836" t="s">
        <v>18</v>
      </c>
      <c r="E836">
        <v>480</v>
      </c>
      <c r="F836">
        <v>98</v>
      </c>
      <c r="G836">
        <v>1676</v>
      </c>
      <c r="H836">
        <v>1602</v>
      </c>
      <c r="I836">
        <v>74</v>
      </c>
      <c r="J836">
        <v>13.2</v>
      </c>
      <c r="K836">
        <v>382</v>
      </c>
      <c r="L836">
        <v>0.79583333333333328</v>
      </c>
      <c r="M836">
        <v>0.96523560209424075</v>
      </c>
      <c r="N836">
        <v>0.95584725536992843</v>
      </c>
      <c r="O836">
        <v>0.73424999999999996</v>
      </c>
    </row>
    <row r="837" spans="1:15" x14ac:dyDescent="0.3">
      <c r="A837">
        <v>836</v>
      </c>
      <c r="B837" s="1">
        <v>45727</v>
      </c>
      <c r="C837" t="s">
        <v>20</v>
      </c>
      <c r="D837" t="s">
        <v>19</v>
      </c>
      <c r="E837">
        <v>480</v>
      </c>
      <c r="F837">
        <v>0</v>
      </c>
      <c r="G837">
        <v>1682</v>
      </c>
      <c r="H837">
        <v>1595</v>
      </c>
      <c r="I837">
        <v>87</v>
      </c>
      <c r="J837">
        <v>13.8</v>
      </c>
      <c r="K837">
        <v>480</v>
      </c>
      <c r="L837">
        <v>1</v>
      </c>
      <c r="M837">
        <v>0.80595833333333344</v>
      </c>
      <c r="N837">
        <v>0.94827586206896552</v>
      </c>
      <c r="O837">
        <v>0.76427083333333345</v>
      </c>
    </row>
    <row r="838" spans="1:15" x14ac:dyDescent="0.3">
      <c r="A838">
        <v>837</v>
      </c>
      <c r="B838" s="1">
        <v>45727</v>
      </c>
      <c r="C838" t="s">
        <v>21</v>
      </c>
      <c r="D838" t="s">
        <v>16</v>
      </c>
      <c r="E838">
        <v>480</v>
      </c>
      <c r="F838">
        <v>0</v>
      </c>
      <c r="G838">
        <v>1840</v>
      </c>
      <c r="H838">
        <v>1757</v>
      </c>
      <c r="I838">
        <v>83</v>
      </c>
      <c r="J838">
        <v>12</v>
      </c>
      <c r="K838">
        <v>480</v>
      </c>
      <c r="L838">
        <v>1</v>
      </c>
      <c r="M838">
        <v>0.76666666666666672</v>
      </c>
      <c r="N838">
        <v>0.9548913043478261</v>
      </c>
      <c r="O838">
        <v>0.73208333333333342</v>
      </c>
    </row>
    <row r="839" spans="1:15" x14ac:dyDescent="0.3">
      <c r="A839">
        <v>838</v>
      </c>
      <c r="B839" s="1">
        <v>45727</v>
      </c>
      <c r="C839" t="s">
        <v>21</v>
      </c>
      <c r="D839" t="s">
        <v>17</v>
      </c>
      <c r="E839">
        <v>480</v>
      </c>
      <c r="F839">
        <v>70</v>
      </c>
      <c r="G839">
        <v>1519</v>
      </c>
      <c r="H839">
        <v>1474</v>
      </c>
      <c r="I839">
        <v>45</v>
      </c>
      <c r="J839">
        <v>12.6</v>
      </c>
      <c r="K839">
        <v>410</v>
      </c>
      <c r="L839">
        <v>0.85416666666666663</v>
      </c>
      <c r="M839">
        <v>0.77802439024390235</v>
      </c>
      <c r="N839">
        <v>0.97037524687294274</v>
      </c>
      <c r="O839">
        <v>0.64487499999999998</v>
      </c>
    </row>
    <row r="840" spans="1:15" x14ac:dyDescent="0.3">
      <c r="A840">
        <v>839</v>
      </c>
      <c r="B840" s="1">
        <v>45727</v>
      </c>
      <c r="C840" t="s">
        <v>21</v>
      </c>
      <c r="D840" t="s">
        <v>18</v>
      </c>
      <c r="E840">
        <v>480</v>
      </c>
      <c r="F840">
        <v>25</v>
      </c>
      <c r="G840">
        <v>1930</v>
      </c>
      <c r="H840">
        <v>1843</v>
      </c>
      <c r="I840">
        <v>87</v>
      </c>
      <c r="J840">
        <v>13.2</v>
      </c>
      <c r="K840">
        <v>455</v>
      </c>
      <c r="L840">
        <v>0.94791666666666663</v>
      </c>
      <c r="M840">
        <v>0.93318681318681318</v>
      </c>
      <c r="N840">
        <v>0.95492227979274613</v>
      </c>
      <c r="O840">
        <v>0.84470833333333328</v>
      </c>
    </row>
    <row r="841" spans="1:15" x14ac:dyDescent="0.3">
      <c r="A841">
        <v>840</v>
      </c>
      <c r="B841" s="1">
        <v>45727</v>
      </c>
      <c r="C841" t="s">
        <v>21</v>
      </c>
      <c r="D841" t="s">
        <v>19</v>
      </c>
      <c r="E841">
        <v>480</v>
      </c>
      <c r="F841">
        <v>0</v>
      </c>
      <c r="G841">
        <v>1741</v>
      </c>
      <c r="H841">
        <v>1715</v>
      </c>
      <c r="I841">
        <v>26</v>
      </c>
      <c r="J841">
        <v>13.8</v>
      </c>
      <c r="K841">
        <v>480</v>
      </c>
      <c r="L841">
        <v>1</v>
      </c>
      <c r="M841">
        <v>0.8342291666666668</v>
      </c>
      <c r="N841">
        <v>0.98506605399195868</v>
      </c>
      <c r="O841">
        <v>0.82177083333333345</v>
      </c>
    </row>
    <row r="842" spans="1:15" x14ac:dyDescent="0.3">
      <c r="A842">
        <v>841</v>
      </c>
      <c r="B842" s="1">
        <v>45728</v>
      </c>
      <c r="C842" t="s">
        <v>15</v>
      </c>
      <c r="D842" t="s">
        <v>16</v>
      </c>
      <c r="E842">
        <v>480</v>
      </c>
      <c r="F842">
        <v>91</v>
      </c>
      <c r="G842">
        <v>1633</v>
      </c>
      <c r="H842">
        <v>1570</v>
      </c>
      <c r="I842">
        <v>63</v>
      </c>
      <c r="J842">
        <v>12</v>
      </c>
      <c r="K842">
        <v>389</v>
      </c>
      <c r="L842">
        <v>0.81041666666666667</v>
      </c>
      <c r="M842">
        <v>0.83958868894601546</v>
      </c>
      <c r="N842">
        <v>0.96142069810165343</v>
      </c>
      <c r="O842">
        <v>0.65416666666666667</v>
      </c>
    </row>
    <row r="843" spans="1:15" x14ac:dyDescent="0.3">
      <c r="A843">
        <v>842</v>
      </c>
      <c r="B843" s="1">
        <v>45728</v>
      </c>
      <c r="C843" t="s">
        <v>15</v>
      </c>
      <c r="D843" t="s">
        <v>17</v>
      </c>
      <c r="E843">
        <v>480</v>
      </c>
      <c r="F843">
        <v>68</v>
      </c>
      <c r="G843">
        <v>1862</v>
      </c>
      <c r="H843">
        <v>1761</v>
      </c>
      <c r="I843">
        <v>101</v>
      </c>
      <c r="J843">
        <v>12.6</v>
      </c>
      <c r="K843">
        <v>412</v>
      </c>
      <c r="L843">
        <v>0.85833333333333328</v>
      </c>
      <c r="M843">
        <v>0.94907766990291265</v>
      </c>
      <c r="N843">
        <v>0.94575725026852842</v>
      </c>
      <c r="O843">
        <v>0.77043749999999989</v>
      </c>
    </row>
    <row r="844" spans="1:15" x14ac:dyDescent="0.3">
      <c r="A844">
        <v>843</v>
      </c>
      <c r="B844" s="1">
        <v>45728</v>
      </c>
      <c r="C844" t="s">
        <v>15</v>
      </c>
      <c r="D844" t="s">
        <v>18</v>
      </c>
      <c r="E844">
        <v>480</v>
      </c>
      <c r="F844">
        <v>26</v>
      </c>
      <c r="G844">
        <v>1906</v>
      </c>
      <c r="H844">
        <v>1830</v>
      </c>
      <c r="I844">
        <v>76</v>
      </c>
      <c r="J844">
        <v>13.2</v>
      </c>
      <c r="K844">
        <v>454</v>
      </c>
      <c r="L844">
        <v>0.9458333333333333</v>
      </c>
      <c r="M844">
        <v>0.92361233480176197</v>
      </c>
      <c r="N844">
        <v>0.96012591815320047</v>
      </c>
      <c r="O844">
        <v>0.83874999999999988</v>
      </c>
    </row>
    <row r="845" spans="1:15" x14ac:dyDescent="0.3">
      <c r="A845">
        <v>844</v>
      </c>
      <c r="B845" s="1">
        <v>45728</v>
      </c>
      <c r="C845" t="s">
        <v>15</v>
      </c>
      <c r="D845" t="s">
        <v>19</v>
      </c>
      <c r="E845">
        <v>480</v>
      </c>
      <c r="F845">
        <v>0</v>
      </c>
      <c r="G845">
        <v>1947</v>
      </c>
      <c r="H845">
        <v>1858</v>
      </c>
      <c r="I845">
        <v>89</v>
      </c>
      <c r="J845">
        <v>13.8</v>
      </c>
      <c r="K845">
        <v>480</v>
      </c>
      <c r="L845">
        <v>1</v>
      </c>
      <c r="M845">
        <v>0.93293750000000009</v>
      </c>
      <c r="N845">
        <v>0.95428864920390344</v>
      </c>
      <c r="O845">
        <v>0.8902916666666667</v>
      </c>
    </row>
    <row r="846" spans="1:15" x14ac:dyDescent="0.3">
      <c r="A846">
        <v>845</v>
      </c>
      <c r="B846" s="1">
        <v>45728</v>
      </c>
      <c r="C846" t="s">
        <v>20</v>
      </c>
      <c r="D846" t="s">
        <v>16</v>
      </c>
      <c r="E846">
        <v>480</v>
      </c>
      <c r="F846">
        <v>0</v>
      </c>
      <c r="G846">
        <v>2056</v>
      </c>
      <c r="H846">
        <v>2018</v>
      </c>
      <c r="I846">
        <v>38</v>
      </c>
      <c r="J846">
        <v>12</v>
      </c>
      <c r="K846">
        <v>480</v>
      </c>
      <c r="L846">
        <v>1</v>
      </c>
      <c r="M846">
        <v>0.85666666666666669</v>
      </c>
      <c r="N846">
        <v>0.98151750972762641</v>
      </c>
      <c r="O846">
        <v>0.84083333333333332</v>
      </c>
    </row>
    <row r="847" spans="1:15" x14ac:dyDescent="0.3">
      <c r="A847">
        <v>846</v>
      </c>
      <c r="B847" s="1">
        <v>45728</v>
      </c>
      <c r="C847" t="s">
        <v>20</v>
      </c>
      <c r="D847" t="s">
        <v>17</v>
      </c>
      <c r="E847">
        <v>480</v>
      </c>
      <c r="F847">
        <v>15</v>
      </c>
      <c r="G847">
        <v>1976</v>
      </c>
      <c r="H847">
        <v>1891</v>
      </c>
      <c r="I847">
        <v>85</v>
      </c>
      <c r="J847">
        <v>12.6</v>
      </c>
      <c r="K847">
        <v>465</v>
      </c>
      <c r="L847">
        <v>0.96875</v>
      </c>
      <c r="M847">
        <v>0.89238709677419348</v>
      </c>
      <c r="N847">
        <v>0.95698380566801622</v>
      </c>
      <c r="O847">
        <v>0.82731250000000001</v>
      </c>
    </row>
    <row r="848" spans="1:15" x14ac:dyDescent="0.3">
      <c r="A848">
        <v>847</v>
      </c>
      <c r="B848" s="1">
        <v>45728</v>
      </c>
      <c r="C848" t="s">
        <v>20</v>
      </c>
      <c r="D848" t="s">
        <v>18</v>
      </c>
      <c r="E848">
        <v>480</v>
      </c>
      <c r="F848">
        <v>85</v>
      </c>
      <c r="G848">
        <v>1411</v>
      </c>
      <c r="H848">
        <v>1329</v>
      </c>
      <c r="I848">
        <v>82</v>
      </c>
      <c r="J848">
        <v>13.2</v>
      </c>
      <c r="K848">
        <v>395</v>
      </c>
      <c r="L848">
        <v>0.82291666666666663</v>
      </c>
      <c r="M848">
        <v>0.78587341772151897</v>
      </c>
      <c r="N848">
        <v>0.94188518781006381</v>
      </c>
      <c r="O848">
        <v>0.60912500000000003</v>
      </c>
    </row>
    <row r="849" spans="1:15" x14ac:dyDescent="0.3">
      <c r="A849">
        <v>848</v>
      </c>
      <c r="B849" s="1">
        <v>45728</v>
      </c>
      <c r="C849" t="s">
        <v>20</v>
      </c>
      <c r="D849" t="s">
        <v>19</v>
      </c>
      <c r="E849">
        <v>480</v>
      </c>
      <c r="F849">
        <v>132</v>
      </c>
      <c r="G849">
        <v>1340</v>
      </c>
      <c r="H849">
        <v>1283</v>
      </c>
      <c r="I849">
        <v>57</v>
      </c>
      <c r="J849">
        <v>13.8</v>
      </c>
      <c r="K849">
        <v>348</v>
      </c>
      <c r="L849">
        <v>0.72499999999999998</v>
      </c>
      <c r="M849">
        <v>0.88563218390804599</v>
      </c>
      <c r="N849">
        <v>0.95746268656716416</v>
      </c>
      <c r="O849">
        <v>0.61477083333333338</v>
      </c>
    </row>
    <row r="850" spans="1:15" x14ac:dyDescent="0.3">
      <c r="A850">
        <v>849</v>
      </c>
      <c r="B850" s="1">
        <v>45728</v>
      </c>
      <c r="C850" t="s">
        <v>21</v>
      </c>
      <c r="D850" t="s">
        <v>16</v>
      </c>
      <c r="E850">
        <v>480</v>
      </c>
      <c r="F850">
        <v>5</v>
      </c>
      <c r="G850">
        <v>2232</v>
      </c>
      <c r="H850">
        <v>2147</v>
      </c>
      <c r="I850">
        <v>85</v>
      </c>
      <c r="J850">
        <v>12</v>
      </c>
      <c r="K850">
        <v>475</v>
      </c>
      <c r="L850">
        <v>0.98958333333333337</v>
      </c>
      <c r="M850">
        <v>0.93978947368421051</v>
      </c>
      <c r="N850">
        <v>0.9619175627240143</v>
      </c>
      <c r="O850">
        <v>0.8945833333333334</v>
      </c>
    </row>
    <row r="851" spans="1:15" x14ac:dyDescent="0.3">
      <c r="A851">
        <v>850</v>
      </c>
      <c r="B851" s="1">
        <v>45728</v>
      </c>
      <c r="C851" t="s">
        <v>21</v>
      </c>
      <c r="D851" t="s">
        <v>17</v>
      </c>
      <c r="E851">
        <v>480</v>
      </c>
      <c r="F851">
        <v>107</v>
      </c>
      <c r="G851">
        <v>1516</v>
      </c>
      <c r="H851">
        <v>1491</v>
      </c>
      <c r="I851">
        <v>25</v>
      </c>
      <c r="J851">
        <v>12.6</v>
      </c>
      <c r="K851">
        <v>373</v>
      </c>
      <c r="L851">
        <v>0.77708333333333335</v>
      </c>
      <c r="M851">
        <v>0.85351206434316351</v>
      </c>
      <c r="N851">
        <v>0.98350923482849606</v>
      </c>
      <c r="O851">
        <v>0.65231250000000007</v>
      </c>
    </row>
    <row r="852" spans="1:15" x14ac:dyDescent="0.3">
      <c r="A852">
        <v>851</v>
      </c>
      <c r="B852" s="1">
        <v>45728</v>
      </c>
      <c r="C852" t="s">
        <v>21</v>
      </c>
      <c r="D852" t="s">
        <v>18</v>
      </c>
      <c r="E852">
        <v>480</v>
      </c>
      <c r="F852">
        <v>58</v>
      </c>
      <c r="G852">
        <v>1758</v>
      </c>
      <c r="H852">
        <v>1714</v>
      </c>
      <c r="I852">
        <v>44</v>
      </c>
      <c r="J852">
        <v>13.2</v>
      </c>
      <c r="K852">
        <v>422</v>
      </c>
      <c r="L852">
        <v>0.87916666666666665</v>
      </c>
      <c r="M852">
        <v>0.91649289099526066</v>
      </c>
      <c r="N852">
        <v>0.97497155858930606</v>
      </c>
      <c r="O852">
        <v>0.7855833333333333</v>
      </c>
    </row>
    <row r="853" spans="1:15" x14ac:dyDescent="0.3">
      <c r="A853">
        <v>852</v>
      </c>
      <c r="B853" s="1">
        <v>45728</v>
      </c>
      <c r="C853" t="s">
        <v>21</v>
      </c>
      <c r="D853" t="s">
        <v>19</v>
      </c>
      <c r="E853">
        <v>480</v>
      </c>
      <c r="F853">
        <v>16</v>
      </c>
      <c r="G853">
        <v>1683</v>
      </c>
      <c r="H853">
        <v>1622</v>
      </c>
      <c r="I853">
        <v>61</v>
      </c>
      <c r="J853">
        <v>13.8</v>
      </c>
      <c r="K853">
        <v>464</v>
      </c>
      <c r="L853">
        <v>0.96666666666666667</v>
      </c>
      <c r="M853">
        <v>0.83424568965517243</v>
      </c>
      <c r="N853">
        <v>0.96375519904931672</v>
      </c>
      <c r="O853">
        <v>0.77720833333333339</v>
      </c>
    </row>
    <row r="854" spans="1:15" x14ac:dyDescent="0.3">
      <c r="A854">
        <v>853</v>
      </c>
      <c r="B854" s="1">
        <v>45729</v>
      </c>
      <c r="C854" t="s">
        <v>15</v>
      </c>
      <c r="D854" t="s">
        <v>16</v>
      </c>
      <c r="E854">
        <v>480</v>
      </c>
      <c r="F854">
        <v>130</v>
      </c>
      <c r="G854">
        <v>1603</v>
      </c>
      <c r="H854">
        <v>1541</v>
      </c>
      <c r="I854">
        <v>62</v>
      </c>
      <c r="J854">
        <v>12</v>
      </c>
      <c r="K854">
        <v>350</v>
      </c>
      <c r="L854">
        <v>0.72916666666666663</v>
      </c>
      <c r="M854">
        <v>0.91600000000000004</v>
      </c>
      <c r="N854">
        <v>0.96132252027448539</v>
      </c>
      <c r="O854">
        <v>0.64208333333333345</v>
      </c>
    </row>
    <row r="855" spans="1:15" x14ac:dyDescent="0.3">
      <c r="A855">
        <v>854</v>
      </c>
      <c r="B855" s="1">
        <v>45729</v>
      </c>
      <c r="C855" t="s">
        <v>15</v>
      </c>
      <c r="D855" t="s">
        <v>17</v>
      </c>
      <c r="E855">
        <v>480</v>
      </c>
      <c r="F855">
        <v>21</v>
      </c>
      <c r="G855">
        <v>1913</v>
      </c>
      <c r="H855">
        <v>1860</v>
      </c>
      <c r="I855">
        <v>53</v>
      </c>
      <c r="J855">
        <v>12.6</v>
      </c>
      <c r="K855">
        <v>459</v>
      </c>
      <c r="L855">
        <v>0.95625000000000004</v>
      </c>
      <c r="M855">
        <v>0.87522875816993462</v>
      </c>
      <c r="N855">
        <v>0.97229482488238372</v>
      </c>
      <c r="O855">
        <v>0.81374999999999997</v>
      </c>
    </row>
    <row r="856" spans="1:15" x14ac:dyDescent="0.3">
      <c r="A856">
        <v>855</v>
      </c>
      <c r="B856" s="1">
        <v>45729</v>
      </c>
      <c r="C856" t="s">
        <v>15</v>
      </c>
      <c r="D856" t="s">
        <v>18</v>
      </c>
      <c r="E856">
        <v>480</v>
      </c>
      <c r="F856">
        <v>0</v>
      </c>
      <c r="G856">
        <v>1733</v>
      </c>
      <c r="H856">
        <v>1634</v>
      </c>
      <c r="I856">
        <v>99</v>
      </c>
      <c r="J856">
        <v>13.2</v>
      </c>
      <c r="K856">
        <v>480</v>
      </c>
      <c r="L856">
        <v>1</v>
      </c>
      <c r="M856">
        <v>0.79429166666666662</v>
      </c>
      <c r="N856">
        <v>0.94287362954414311</v>
      </c>
      <c r="O856">
        <v>0.74891666666666667</v>
      </c>
    </row>
    <row r="857" spans="1:15" x14ac:dyDescent="0.3">
      <c r="A857">
        <v>856</v>
      </c>
      <c r="B857" s="1">
        <v>45729</v>
      </c>
      <c r="C857" t="s">
        <v>15</v>
      </c>
      <c r="D857" t="s">
        <v>19</v>
      </c>
      <c r="E857">
        <v>480</v>
      </c>
      <c r="F857">
        <v>5</v>
      </c>
      <c r="G857">
        <v>1889</v>
      </c>
      <c r="H857">
        <v>1820</v>
      </c>
      <c r="I857">
        <v>69</v>
      </c>
      <c r="J857">
        <v>13.8</v>
      </c>
      <c r="K857">
        <v>475</v>
      </c>
      <c r="L857">
        <v>0.98958333333333337</v>
      </c>
      <c r="M857">
        <v>0.91467368421052631</v>
      </c>
      <c r="N857">
        <v>0.96347273689782953</v>
      </c>
      <c r="O857">
        <v>0.87208333333333332</v>
      </c>
    </row>
    <row r="858" spans="1:15" x14ac:dyDescent="0.3">
      <c r="A858">
        <v>857</v>
      </c>
      <c r="B858" s="1">
        <v>45729</v>
      </c>
      <c r="C858" t="s">
        <v>20</v>
      </c>
      <c r="D858" t="s">
        <v>16</v>
      </c>
      <c r="E858">
        <v>480</v>
      </c>
      <c r="F858">
        <v>5</v>
      </c>
      <c r="G858">
        <v>1885</v>
      </c>
      <c r="H858">
        <v>1823</v>
      </c>
      <c r="I858">
        <v>62</v>
      </c>
      <c r="J858">
        <v>12</v>
      </c>
      <c r="K858">
        <v>475</v>
      </c>
      <c r="L858">
        <v>0.98958333333333337</v>
      </c>
      <c r="M858">
        <v>0.79368421052631577</v>
      </c>
      <c r="N858">
        <v>0.96710875331564983</v>
      </c>
      <c r="O858">
        <v>0.75958333333333328</v>
      </c>
    </row>
    <row r="859" spans="1:15" x14ac:dyDescent="0.3">
      <c r="A859">
        <v>858</v>
      </c>
      <c r="B859" s="1">
        <v>45729</v>
      </c>
      <c r="C859" t="s">
        <v>20</v>
      </c>
      <c r="D859" t="s">
        <v>17</v>
      </c>
      <c r="E859">
        <v>480</v>
      </c>
      <c r="F859">
        <v>31</v>
      </c>
      <c r="G859">
        <v>2009</v>
      </c>
      <c r="H859">
        <v>1947</v>
      </c>
      <c r="I859">
        <v>62</v>
      </c>
      <c r="J859">
        <v>12.6</v>
      </c>
      <c r="K859">
        <v>449</v>
      </c>
      <c r="L859">
        <v>0.93541666666666667</v>
      </c>
      <c r="M859">
        <v>0.93962138084632507</v>
      </c>
      <c r="N859">
        <v>0.96913887506221996</v>
      </c>
      <c r="O859">
        <v>0.85181249999999986</v>
      </c>
    </row>
    <row r="860" spans="1:15" x14ac:dyDescent="0.3">
      <c r="A860">
        <v>859</v>
      </c>
      <c r="B860" s="1">
        <v>45729</v>
      </c>
      <c r="C860" t="s">
        <v>20</v>
      </c>
      <c r="D860" t="s">
        <v>18</v>
      </c>
      <c r="E860">
        <v>480</v>
      </c>
      <c r="F860">
        <v>0</v>
      </c>
      <c r="G860">
        <v>1773</v>
      </c>
      <c r="H860">
        <v>1669</v>
      </c>
      <c r="I860">
        <v>104</v>
      </c>
      <c r="J860">
        <v>13.2</v>
      </c>
      <c r="K860">
        <v>480</v>
      </c>
      <c r="L860">
        <v>1</v>
      </c>
      <c r="M860">
        <v>0.81262499999999993</v>
      </c>
      <c r="N860">
        <v>0.94134235758601237</v>
      </c>
      <c r="O860">
        <v>0.76495833333333318</v>
      </c>
    </row>
    <row r="861" spans="1:15" x14ac:dyDescent="0.3">
      <c r="A861">
        <v>860</v>
      </c>
      <c r="B861" s="1">
        <v>45729</v>
      </c>
      <c r="C861" t="s">
        <v>20</v>
      </c>
      <c r="D861" t="s">
        <v>19</v>
      </c>
      <c r="E861">
        <v>480</v>
      </c>
      <c r="F861">
        <v>55</v>
      </c>
      <c r="G861">
        <v>1797</v>
      </c>
      <c r="H861">
        <v>1731</v>
      </c>
      <c r="I861">
        <v>66</v>
      </c>
      <c r="J861">
        <v>13.8</v>
      </c>
      <c r="K861">
        <v>425</v>
      </c>
      <c r="L861">
        <v>0.88541666666666663</v>
      </c>
      <c r="M861">
        <v>0.97249411764705895</v>
      </c>
      <c r="N861">
        <v>0.96327212020033393</v>
      </c>
      <c r="O861">
        <v>0.82943750000000005</v>
      </c>
    </row>
    <row r="862" spans="1:15" x14ac:dyDescent="0.3">
      <c r="A862">
        <v>861</v>
      </c>
      <c r="B862" s="1">
        <v>45729</v>
      </c>
      <c r="C862" t="s">
        <v>21</v>
      </c>
      <c r="D862" t="s">
        <v>16</v>
      </c>
      <c r="E862">
        <v>480</v>
      </c>
      <c r="F862">
        <v>25</v>
      </c>
      <c r="G862">
        <v>1792</v>
      </c>
      <c r="H862">
        <v>1729</v>
      </c>
      <c r="I862">
        <v>63</v>
      </c>
      <c r="J862">
        <v>12</v>
      </c>
      <c r="K862">
        <v>455</v>
      </c>
      <c r="L862">
        <v>0.94791666666666663</v>
      </c>
      <c r="M862">
        <v>0.78769230769230769</v>
      </c>
      <c r="N862">
        <v>0.96484375</v>
      </c>
      <c r="O862">
        <v>0.72041666666666659</v>
      </c>
    </row>
    <row r="863" spans="1:15" x14ac:dyDescent="0.3">
      <c r="A863">
        <v>862</v>
      </c>
      <c r="B863" s="1">
        <v>45729</v>
      </c>
      <c r="C863" t="s">
        <v>21</v>
      </c>
      <c r="D863" t="s">
        <v>17</v>
      </c>
      <c r="E863">
        <v>480</v>
      </c>
      <c r="F863">
        <v>150</v>
      </c>
      <c r="G863">
        <v>1446</v>
      </c>
      <c r="H863">
        <v>1372</v>
      </c>
      <c r="I863">
        <v>74</v>
      </c>
      <c r="J863">
        <v>12.6</v>
      </c>
      <c r="K863">
        <v>330</v>
      </c>
      <c r="L863">
        <v>0.6875</v>
      </c>
      <c r="M863">
        <v>0.9201818181818181</v>
      </c>
      <c r="N863">
        <v>0.94882434301521434</v>
      </c>
      <c r="O863">
        <v>0.60024999999999995</v>
      </c>
    </row>
    <row r="864" spans="1:15" x14ac:dyDescent="0.3">
      <c r="A864">
        <v>863</v>
      </c>
      <c r="B864" s="1">
        <v>45729</v>
      </c>
      <c r="C864" t="s">
        <v>21</v>
      </c>
      <c r="D864" t="s">
        <v>18</v>
      </c>
      <c r="E864">
        <v>480</v>
      </c>
      <c r="F864">
        <v>65</v>
      </c>
      <c r="G864">
        <v>1594</v>
      </c>
      <c r="H864">
        <v>1519</v>
      </c>
      <c r="I864">
        <v>75</v>
      </c>
      <c r="J864">
        <v>13.2</v>
      </c>
      <c r="K864">
        <v>415</v>
      </c>
      <c r="L864">
        <v>0.86458333333333337</v>
      </c>
      <c r="M864">
        <v>0.84501204819277109</v>
      </c>
      <c r="N864">
        <v>0.9529485570890841</v>
      </c>
      <c r="O864">
        <v>0.69620833333333343</v>
      </c>
    </row>
    <row r="865" spans="1:15" x14ac:dyDescent="0.3">
      <c r="A865">
        <v>864</v>
      </c>
      <c r="B865" s="1">
        <v>45729</v>
      </c>
      <c r="C865" t="s">
        <v>21</v>
      </c>
      <c r="D865" t="s">
        <v>19</v>
      </c>
      <c r="E865">
        <v>480</v>
      </c>
      <c r="F865">
        <v>45</v>
      </c>
      <c r="G865">
        <v>1716</v>
      </c>
      <c r="H865">
        <v>1624</v>
      </c>
      <c r="I865">
        <v>92</v>
      </c>
      <c r="J865">
        <v>13.8</v>
      </c>
      <c r="K865">
        <v>435</v>
      </c>
      <c r="L865">
        <v>0.90625</v>
      </c>
      <c r="M865">
        <v>0.90731034482758632</v>
      </c>
      <c r="N865">
        <v>0.94638694638694643</v>
      </c>
      <c r="O865">
        <v>0.77816666666666678</v>
      </c>
    </row>
    <row r="866" spans="1:15" x14ac:dyDescent="0.3">
      <c r="A866">
        <v>865</v>
      </c>
      <c r="B866" s="1">
        <v>45730</v>
      </c>
      <c r="C866" t="s">
        <v>15</v>
      </c>
      <c r="D866" t="s">
        <v>16</v>
      </c>
      <c r="E866">
        <v>480</v>
      </c>
      <c r="F866">
        <v>0</v>
      </c>
      <c r="G866">
        <v>2282</v>
      </c>
      <c r="H866">
        <v>2253</v>
      </c>
      <c r="I866">
        <v>29</v>
      </c>
      <c r="J866">
        <v>12</v>
      </c>
      <c r="K866">
        <v>480</v>
      </c>
      <c r="L866">
        <v>1</v>
      </c>
      <c r="M866">
        <v>0.95083333333333331</v>
      </c>
      <c r="N866">
        <v>0.98729184925503943</v>
      </c>
      <c r="O866">
        <v>0.93874999999999997</v>
      </c>
    </row>
    <row r="867" spans="1:15" x14ac:dyDescent="0.3">
      <c r="A867">
        <v>866</v>
      </c>
      <c r="B867" s="1">
        <v>45730</v>
      </c>
      <c r="C867" t="s">
        <v>15</v>
      </c>
      <c r="D867" t="s">
        <v>17</v>
      </c>
      <c r="E867">
        <v>480</v>
      </c>
      <c r="F867">
        <v>75</v>
      </c>
      <c r="G867">
        <v>1826</v>
      </c>
      <c r="H867">
        <v>1772</v>
      </c>
      <c r="I867">
        <v>54</v>
      </c>
      <c r="J867">
        <v>12.6</v>
      </c>
      <c r="K867">
        <v>405</v>
      </c>
      <c r="L867">
        <v>0.84375</v>
      </c>
      <c r="M867">
        <v>0.94681481481481478</v>
      </c>
      <c r="N867">
        <v>0.97042716319824751</v>
      </c>
      <c r="O867">
        <v>0.77524999999999999</v>
      </c>
    </row>
    <row r="868" spans="1:15" x14ac:dyDescent="0.3">
      <c r="A868">
        <v>867</v>
      </c>
      <c r="B868" s="1">
        <v>45730</v>
      </c>
      <c r="C868" t="s">
        <v>15</v>
      </c>
      <c r="D868" t="s">
        <v>18</v>
      </c>
      <c r="E868">
        <v>480</v>
      </c>
      <c r="F868">
        <v>0</v>
      </c>
      <c r="G868">
        <v>1849</v>
      </c>
      <c r="H868">
        <v>1795</v>
      </c>
      <c r="I868">
        <v>54</v>
      </c>
      <c r="J868">
        <v>13.2</v>
      </c>
      <c r="K868">
        <v>480</v>
      </c>
      <c r="L868">
        <v>1</v>
      </c>
      <c r="M868">
        <v>0.84745833333333331</v>
      </c>
      <c r="N868">
        <v>0.97079502433747977</v>
      </c>
      <c r="O868">
        <v>0.82270833333333337</v>
      </c>
    </row>
    <row r="869" spans="1:15" x14ac:dyDescent="0.3">
      <c r="A869">
        <v>868</v>
      </c>
      <c r="B869" s="1">
        <v>45730</v>
      </c>
      <c r="C869" t="s">
        <v>15</v>
      </c>
      <c r="D869" t="s">
        <v>19</v>
      </c>
      <c r="E869">
        <v>480</v>
      </c>
      <c r="F869">
        <v>145</v>
      </c>
      <c r="G869">
        <v>1334</v>
      </c>
      <c r="H869">
        <v>1258</v>
      </c>
      <c r="I869">
        <v>76</v>
      </c>
      <c r="J869">
        <v>13.8</v>
      </c>
      <c r="K869">
        <v>335</v>
      </c>
      <c r="L869">
        <v>0.69791666666666663</v>
      </c>
      <c r="M869">
        <v>0.91588059701492541</v>
      </c>
      <c r="N869">
        <v>0.94302848575712139</v>
      </c>
      <c r="O869">
        <v>0.60279166666666673</v>
      </c>
    </row>
    <row r="870" spans="1:15" x14ac:dyDescent="0.3">
      <c r="A870">
        <v>869</v>
      </c>
      <c r="B870" s="1">
        <v>45730</v>
      </c>
      <c r="C870" t="s">
        <v>20</v>
      </c>
      <c r="D870" t="s">
        <v>16</v>
      </c>
      <c r="E870">
        <v>480</v>
      </c>
      <c r="F870">
        <v>43</v>
      </c>
      <c r="G870">
        <v>2002</v>
      </c>
      <c r="H870">
        <v>1979</v>
      </c>
      <c r="I870">
        <v>23</v>
      </c>
      <c r="J870">
        <v>12</v>
      </c>
      <c r="K870">
        <v>437</v>
      </c>
      <c r="L870">
        <v>0.91041666666666665</v>
      </c>
      <c r="M870">
        <v>0.91624713958810067</v>
      </c>
      <c r="N870">
        <v>0.98851148851148851</v>
      </c>
      <c r="O870">
        <v>0.82458333333333333</v>
      </c>
    </row>
    <row r="871" spans="1:15" x14ac:dyDescent="0.3">
      <c r="A871">
        <v>870</v>
      </c>
      <c r="B871" s="1">
        <v>45730</v>
      </c>
      <c r="C871" t="s">
        <v>20</v>
      </c>
      <c r="D871" t="s">
        <v>17</v>
      </c>
      <c r="E871">
        <v>480</v>
      </c>
      <c r="F871">
        <v>129</v>
      </c>
      <c r="G871">
        <v>1602</v>
      </c>
      <c r="H871">
        <v>1571</v>
      </c>
      <c r="I871">
        <v>31</v>
      </c>
      <c r="J871">
        <v>12.6</v>
      </c>
      <c r="K871">
        <v>351</v>
      </c>
      <c r="L871">
        <v>0.73124999999999996</v>
      </c>
      <c r="M871">
        <v>0.95846153846153848</v>
      </c>
      <c r="N871">
        <v>0.98064918851435701</v>
      </c>
      <c r="O871">
        <v>0.68731249999999988</v>
      </c>
    </row>
    <row r="872" spans="1:15" x14ac:dyDescent="0.3">
      <c r="A872">
        <v>871</v>
      </c>
      <c r="B872" s="1">
        <v>45730</v>
      </c>
      <c r="C872" t="s">
        <v>20</v>
      </c>
      <c r="D872" t="s">
        <v>18</v>
      </c>
      <c r="E872">
        <v>480</v>
      </c>
      <c r="F872">
        <v>102</v>
      </c>
      <c r="G872">
        <v>1394</v>
      </c>
      <c r="H872">
        <v>1324</v>
      </c>
      <c r="I872">
        <v>70</v>
      </c>
      <c r="J872">
        <v>13.2</v>
      </c>
      <c r="K872">
        <v>378</v>
      </c>
      <c r="L872">
        <v>0.78749999999999998</v>
      </c>
      <c r="M872">
        <v>0.81132275132275133</v>
      </c>
      <c r="N872">
        <v>0.94978479196556675</v>
      </c>
      <c r="O872">
        <v>0.60683333333333334</v>
      </c>
    </row>
    <row r="873" spans="1:15" x14ac:dyDescent="0.3">
      <c r="A873">
        <v>872</v>
      </c>
      <c r="B873" s="1">
        <v>45730</v>
      </c>
      <c r="C873" t="s">
        <v>20</v>
      </c>
      <c r="D873" t="s">
        <v>19</v>
      </c>
      <c r="E873">
        <v>480</v>
      </c>
      <c r="F873">
        <v>0</v>
      </c>
      <c r="G873">
        <v>1823</v>
      </c>
      <c r="H873">
        <v>1799</v>
      </c>
      <c r="I873">
        <v>24</v>
      </c>
      <c r="J873">
        <v>13.8</v>
      </c>
      <c r="K873">
        <v>480</v>
      </c>
      <c r="L873">
        <v>1</v>
      </c>
      <c r="M873">
        <v>0.87352083333333341</v>
      </c>
      <c r="N873">
        <v>0.98683488754799775</v>
      </c>
      <c r="O873">
        <v>0.86202083333333335</v>
      </c>
    </row>
    <row r="874" spans="1:15" x14ac:dyDescent="0.3">
      <c r="A874">
        <v>873</v>
      </c>
      <c r="B874" s="1">
        <v>45730</v>
      </c>
      <c r="C874" t="s">
        <v>21</v>
      </c>
      <c r="D874" t="s">
        <v>16</v>
      </c>
      <c r="E874">
        <v>480</v>
      </c>
      <c r="F874">
        <v>179</v>
      </c>
      <c r="G874">
        <v>1261</v>
      </c>
      <c r="H874">
        <v>1222</v>
      </c>
      <c r="I874">
        <v>39</v>
      </c>
      <c r="J874">
        <v>12</v>
      </c>
      <c r="K874">
        <v>301</v>
      </c>
      <c r="L874">
        <v>0.62708333333333333</v>
      </c>
      <c r="M874">
        <v>0.83787375415282395</v>
      </c>
      <c r="N874">
        <v>0.96907216494845361</v>
      </c>
      <c r="O874">
        <v>0.50916666666666666</v>
      </c>
    </row>
    <row r="875" spans="1:15" x14ac:dyDescent="0.3">
      <c r="A875">
        <v>874</v>
      </c>
      <c r="B875" s="1">
        <v>45730</v>
      </c>
      <c r="C875" t="s">
        <v>21</v>
      </c>
      <c r="D875" t="s">
        <v>17</v>
      </c>
      <c r="E875">
        <v>480</v>
      </c>
      <c r="F875">
        <v>13</v>
      </c>
      <c r="G875">
        <v>1858</v>
      </c>
      <c r="H875">
        <v>1838</v>
      </c>
      <c r="I875">
        <v>20</v>
      </c>
      <c r="J875">
        <v>12.6</v>
      </c>
      <c r="K875">
        <v>467</v>
      </c>
      <c r="L875">
        <v>0.97291666666666665</v>
      </c>
      <c r="M875">
        <v>0.83550321199143462</v>
      </c>
      <c r="N875">
        <v>0.98923573735199144</v>
      </c>
      <c r="O875">
        <v>0.80412499999999998</v>
      </c>
    </row>
    <row r="876" spans="1:15" x14ac:dyDescent="0.3">
      <c r="A876">
        <v>875</v>
      </c>
      <c r="B876" s="1">
        <v>45730</v>
      </c>
      <c r="C876" t="s">
        <v>21</v>
      </c>
      <c r="D876" t="s">
        <v>18</v>
      </c>
      <c r="E876">
        <v>480</v>
      </c>
      <c r="F876">
        <v>0</v>
      </c>
      <c r="G876">
        <v>2028</v>
      </c>
      <c r="H876">
        <v>1988</v>
      </c>
      <c r="I876">
        <v>40</v>
      </c>
      <c r="J876">
        <v>13.2</v>
      </c>
      <c r="K876">
        <v>480</v>
      </c>
      <c r="L876">
        <v>1</v>
      </c>
      <c r="M876">
        <v>0.92949999999999999</v>
      </c>
      <c r="N876">
        <v>0.98027613412228798</v>
      </c>
      <c r="O876">
        <v>0.91116666666666668</v>
      </c>
    </row>
    <row r="877" spans="1:15" x14ac:dyDescent="0.3">
      <c r="A877">
        <v>876</v>
      </c>
      <c r="B877" s="1">
        <v>45730</v>
      </c>
      <c r="C877" t="s">
        <v>21</v>
      </c>
      <c r="D877" t="s">
        <v>19</v>
      </c>
      <c r="E877">
        <v>480</v>
      </c>
      <c r="F877">
        <v>0</v>
      </c>
      <c r="G877">
        <v>1792</v>
      </c>
      <c r="H877">
        <v>1774</v>
      </c>
      <c r="I877">
        <v>18</v>
      </c>
      <c r="J877">
        <v>13.8</v>
      </c>
      <c r="K877">
        <v>480</v>
      </c>
      <c r="L877">
        <v>1</v>
      </c>
      <c r="M877">
        <v>0.85866666666666669</v>
      </c>
      <c r="N877">
        <v>0.9899553571428571</v>
      </c>
      <c r="O877">
        <v>0.8500416666666667</v>
      </c>
    </row>
    <row r="878" spans="1:15" x14ac:dyDescent="0.3">
      <c r="A878">
        <v>877</v>
      </c>
      <c r="B878" s="1">
        <v>45731</v>
      </c>
      <c r="C878" t="s">
        <v>15</v>
      </c>
      <c r="D878" t="s">
        <v>16</v>
      </c>
      <c r="E878">
        <v>480</v>
      </c>
      <c r="F878">
        <v>0</v>
      </c>
      <c r="G878">
        <v>2245</v>
      </c>
      <c r="H878">
        <v>2136</v>
      </c>
      <c r="I878">
        <v>109</v>
      </c>
      <c r="J878">
        <v>12</v>
      </c>
      <c r="K878">
        <v>480</v>
      </c>
      <c r="L878">
        <v>1</v>
      </c>
      <c r="M878">
        <v>0.93541666666666667</v>
      </c>
      <c r="N878">
        <v>0.9514476614699332</v>
      </c>
      <c r="O878">
        <v>0.89</v>
      </c>
    </row>
    <row r="879" spans="1:15" x14ac:dyDescent="0.3">
      <c r="A879">
        <v>878</v>
      </c>
      <c r="B879" s="1">
        <v>45731</v>
      </c>
      <c r="C879" t="s">
        <v>15</v>
      </c>
      <c r="D879" t="s">
        <v>17</v>
      </c>
      <c r="E879">
        <v>480</v>
      </c>
      <c r="F879">
        <v>121</v>
      </c>
      <c r="G879">
        <v>1568</v>
      </c>
      <c r="H879">
        <v>1476</v>
      </c>
      <c r="I879">
        <v>92</v>
      </c>
      <c r="J879">
        <v>12.6</v>
      </c>
      <c r="K879">
        <v>359</v>
      </c>
      <c r="L879">
        <v>0.74791666666666667</v>
      </c>
      <c r="M879">
        <v>0.91721448467966571</v>
      </c>
      <c r="N879">
        <v>0.94132653061224492</v>
      </c>
      <c r="O879">
        <v>0.64574999999999994</v>
      </c>
    </row>
    <row r="880" spans="1:15" x14ac:dyDescent="0.3">
      <c r="A880">
        <v>879</v>
      </c>
      <c r="B880" s="1">
        <v>45731</v>
      </c>
      <c r="C880" t="s">
        <v>15</v>
      </c>
      <c r="D880" t="s">
        <v>18</v>
      </c>
      <c r="E880">
        <v>480</v>
      </c>
      <c r="F880">
        <v>0</v>
      </c>
      <c r="G880">
        <v>1749</v>
      </c>
      <c r="H880">
        <v>1713</v>
      </c>
      <c r="I880">
        <v>36</v>
      </c>
      <c r="J880">
        <v>13.2</v>
      </c>
      <c r="K880">
        <v>480</v>
      </c>
      <c r="L880">
        <v>1</v>
      </c>
      <c r="M880">
        <v>0.80162499999999992</v>
      </c>
      <c r="N880">
        <v>0.97941680960548883</v>
      </c>
      <c r="O880">
        <v>0.78512499999999985</v>
      </c>
    </row>
    <row r="881" spans="1:15" x14ac:dyDescent="0.3">
      <c r="A881">
        <v>880</v>
      </c>
      <c r="B881" s="1">
        <v>45731</v>
      </c>
      <c r="C881" t="s">
        <v>15</v>
      </c>
      <c r="D881" t="s">
        <v>19</v>
      </c>
      <c r="E881">
        <v>480</v>
      </c>
      <c r="F881">
        <v>294</v>
      </c>
      <c r="G881">
        <v>611</v>
      </c>
      <c r="H881">
        <v>580</v>
      </c>
      <c r="I881">
        <v>31</v>
      </c>
      <c r="J881">
        <v>13.8</v>
      </c>
      <c r="K881">
        <v>186</v>
      </c>
      <c r="L881">
        <v>0.38750000000000001</v>
      </c>
      <c r="M881">
        <v>0.75553763440860222</v>
      </c>
      <c r="N881">
        <v>0.9492635024549918</v>
      </c>
      <c r="O881">
        <v>0.2779166666666667</v>
      </c>
    </row>
    <row r="882" spans="1:15" x14ac:dyDescent="0.3">
      <c r="A882">
        <v>881</v>
      </c>
      <c r="B882" s="1">
        <v>45731</v>
      </c>
      <c r="C882" t="s">
        <v>20</v>
      </c>
      <c r="D882" t="s">
        <v>16</v>
      </c>
      <c r="E882">
        <v>480</v>
      </c>
      <c r="F882">
        <v>70</v>
      </c>
      <c r="G882">
        <v>1655</v>
      </c>
      <c r="H882">
        <v>1584</v>
      </c>
      <c r="I882">
        <v>71</v>
      </c>
      <c r="J882">
        <v>12</v>
      </c>
      <c r="K882">
        <v>410</v>
      </c>
      <c r="L882">
        <v>0.85416666666666663</v>
      </c>
      <c r="M882">
        <v>0.80731707317073176</v>
      </c>
      <c r="N882">
        <v>0.95709969788519633</v>
      </c>
      <c r="O882">
        <v>0.65999999999999992</v>
      </c>
    </row>
    <row r="883" spans="1:15" x14ac:dyDescent="0.3">
      <c r="A883">
        <v>882</v>
      </c>
      <c r="B883" s="1">
        <v>45731</v>
      </c>
      <c r="C883" t="s">
        <v>20</v>
      </c>
      <c r="D883" t="s">
        <v>17</v>
      </c>
      <c r="E883">
        <v>480</v>
      </c>
      <c r="F883">
        <v>117</v>
      </c>
      <c r="G883">
        <v>1496</v>
      </c>
      <c r="H883">
        <v>1471</v>
      </c>
      <c r="I883">
        <v>25</v>
      </c>
      <c r="J883">
        <v>12.6</v>
      </c>
      <c r="K883">
        <v>363</v>
      </c>
      <c r="L883">
        <v>0.75624999999999998</v>
      </c>
      <c r="M883">
        <v>0.86545454545454537</v>
      </c>
      <c r="N883">
        <v>0.98328877005347592</v>
      </c>
      <c r="O883">
        <v>0.64356249999999982</v>
      </c>
    </row>
    <row r="884" spans="1:15" x14ac:dyDescent="0.3">
      <c r="A884">
        <v>883</v>
      </c>
      <c r="B884" s="1">
        <v>45731</v>
      </c>
      <c r="C884" t="s">
        <v>20</v>
      </c>
      <c r="D884" t="s">
        <v>18</v>
      </c>
      <c r="E884">
        <v>480</v>
      </c>
      <c r="F884">
        <v>17</v>
      </c>
      <c r="G884">
        <v>1582</v>
      </c>
      <c r="H884">
        <v>1506</v>
      </c>
      <c r="I884">
        <v>76</v>
      </c>
      <c r="J884">
        <v>13.2</v>
      </c>
      <c r="K884">
        <v>463</v>
      </c>
      <c r="L884">
        <v>0.96458333333333335</v>
      </c>
      <c r="M884">
        <v>0.75170626349892</v>
      </c>
      <c r="N884">
        <v>0.95195954487989887</v>
      </c>
      <c r="O884">
        <v>0.69024999999999992</v>
      </c>
    </row>
    <row r="885" spans="1:15" x14ac:dyDescent="0.3">
      <c r="A885">
        <v>884</v>
      </c>
      <c r="B885" s="1">
        <v>45731</v>
      </c>
      <c r="C885" t="s">
        <v>20</v>
      </c>
      <c r="D885" t="s">
        <v>19</v>
      </c>
      <c r="E885">
        <v>480</v>
      </c>
      <c r="F885">
        <v>63</v>
      </c>
      <c r="G885">
        <v>1436</v>
      </c>
      <c r="H885">
        <v>1381</v>
      </c>
      <c r="I885">
        <v>55</v>
      </c>
      <c r="J885">
        <v>13.8</v>
      </c>
      <c r="K885">
        <v>417</v>
      </c>
      <c r="L885">
        <v>0.86875000000000002</v>
      </c>
      <c r="M885">
        <v>0.79203836930455629</v>
      </c>
      <c r="N885">
        <v>0.96169916434540392</v>
      </c>
      <c r="O885">
        <v>0.66172916666666659</v>
      </c>
    </row>
    <row r="886" spans="1:15" x14ac:dyDescent="0.3">
      <c r="A886">
        <v>885</v>
      </c>
      <c r="B886" s="1">
        <v>45731</v>
      </c>
      <c r="C886" t="s">
        <v>21</v>
      </c>
      <c r="D886" t="s">
        <v>16</v>
      </c>
      <c r="E886">
        <v>480</v>
      </c>
      <c r="F886">
        <v>0</v>
      </c>
      <c r="G886">
        <v>1996</v>
      </c>
      <c r="H886">
        <v>1907</v>
      </c>
      <c r="I886">
        <v>89</v>
      </c>
      <c r="J886">
        <v>12</v>
      </c>
      <c r="K886">
        <v>480</v>
      </c>
      <c r="L886">
        <v>1</v>
      </c>
      <c r="M886">
        <v>0.83166666666666667</v>
      </c>
      <c r="N886">
        <v>0.95541082164328661</v>
      </c>
      <c r="O886">
        <v>0.79458333333333342</v>
      </c>
    </row>
    <row r="887" spans="1:15" x14ac:dyDescent="0.3">
      <c r="A887">
        <v>886</v>
      </c>
      <c r="B887" s="1">
        <v>45731</v>
      </c>
      <c r="C887" t="s">
        <v>21</v>
      </c>
      <c r="D887" t="s">
        <v>17</v>
      </c>
      <c r="E887">
        <v>480</v>
      </c>
      <c r="F887">
        <v>16</v>
      </c>
      <c r="G887">
        <v>1660</v>
      </c>
      <c r="H887">
        <v>1637</v>
      </c>
      <c r="I887">
        <v>23</v>
      </c>
      <c r="J887">
        <v>12.6</v>
      </c>
      <c r="K887">
        <v>464</v>
      </c>
      <c r="L887">
        <v>0.96666666666666667</v>
      </c>
      <c r="M887">
        <v>0.75129310344827582</v>
      </c>
      <c r="N887">
        <v>0.98614457831325297</v>
      </c>
      <c r="O887">
        <v>0.71618749999999998</v>
      </c>
    </row>
    <row r="888" spans="1:15" x14ac:dyDescent="0.3">
      <c r="A888">
        <v>887</v>
      </c>
      <c r="B888" s="1">
        <v>45731</v>
      </c>
      <c r="C888" t="s">
        <v>21</v>
      </c>
      <c r="D888" t="s">
        <v>18</v>
      </c>
      <c r="E888">
        <v>480</v>
      </c>
      <c r="F888">
        <v>75</v>
      </c>
      <c r="G888">
        <v>1495</v>
      </c>
      <c r="H888">
        <v>1453</v>
      </c>
      <c r="I888">
        <v>42</v>
      </c>
      <c r="J888">
        <v>13.2</v>
      </c>
      <c r="K888">
        <v>405</v>
      </c>
      <c r="L888">
        <v>0.84375</v>
      </c>
      <c r="M888">
        <v>0.8120987654320988</v>
      </c>
      <c r="N888">
        <v>0.97190635451505014</v>
      </c>
      <c r="O888">
        <v>0.66595833333333343</v>
      </c>
    </row>
    <row r="889" spans="1:15" x14ac:dyDescent="0.3">
      <c r="A889">
        <v>888</v>
      </c>
      <c r="B889" s="1">
        <v>45731</v>
      </c>
      <c r="C889" t="s">
        <v>21</v>
      </c>
      <c r="D889" t="s">
        <v>19</v>
      </c>
      <c r="E889">
        <v>480</v>
      </c>
      <c r="F889">
        <v>97</v>
      </c>
      <c r="G889">
        <v>1395</v>
      </c>
      <c r="H889">
        <v>1322</v>
      </c>
      <c r="I889">
        <v>73</v>
      </c>
      <c r="J889">
        <v>13.8</v>
      </c>
      <c r="K889">
        <v>383</v>
      </c>
      <c r="L889">
        <v>0.79791666666666672</v>
      </c>
      <c r="M889">
        <v>0.83772845953002606</v>
      </c>
      <c r="N889">
        <v>0.94767025089605739</v>
      </c>
      <c r="O889">
        <v>0.63345833333333335</v>
      </c>
    </row>
    <row r="890" spans="1:15" x14ac:dyDescent="0.3">
      <c r="A890">
        <v>889</v>
      </c>
      <c r="B890" s="1">
        <v>45732</v>
      </c>
      <c r="C890" t="s">
        <v>15</v>
      </c>
      <c r="D890" t="s">
        <v>16</v>
      </c>
      <c r="E890">
        <v>480</v>
      </c>
      <c r="F890">
        <v>13</v>
      </c>
      <c r="G890">
        <v>2245</v>
      </c>
      <c r="H890">
        <v>2158</v>
      </c>
      <c r="I890">
        <v>87</v>
      </c>
      <c r="J890">
        <v>12</v>
      </c>
      <c r="K890">
        <v>467</v>
      </c>
      <c r="L890">
        <v>0.97291666666666665</v>
      </c>
      <c r="M890">
        <v>0.96145610278372595</v>
      </c>
      <c r="N890">
        <v>0.96124721603563479</v>
      </c>
      <c r="O890">
        <v>0.89916666666666667</v>
      </c>
    </row>
    <row r="891" spans="1:15" x14ac:dyDescent="0.3">
      <c r="A891">
        <v>890</v>
      </c>
      <c r="B891" s="1">
        <v>45732</v>
      </c>
      <c r="C891" t="s">
        <v>15</v>
      </c>
      <c r="D891" t="s">
        <v>17</v>
      </c>
      <c r="E891">
        <v>480</v>
      </c>
      <c r="F891">
        <v>17</v>
      </c>
      <c r="G891">
        <v>1925</v>
      </c>
      <c r="H891">
        <v>1816</v>
      </c>
      <c r="I891">
        <v>109</v>
      </c>
      <c r="J891">
        <v>12.6</v>
      </c>
      <c r="K891">
        <v>463</v>
      </c>
      <c r="L891">
        <v>0.96458333333333335</v>
      </c>
      <c r="M891">
        <v>0.87311015118790491</v>
      </c>
      <c r="N891">
        <v>0.94337662337662342</v>
      </c>
      <c r="O891">
        <v>0.79449999999999998</v>
      </c>
    </row>
    <row r="892" spans="1:15" x14ac:dyDescent="0.3">
      <c r="A892">
        <v>891</v>
      </c>
      <c r="B892" s="1">
        <v>45732</v>
      </c>
      <c r="C892" t="s">
        <v>15</v>
      </c>
      <c r="D892" t="s">
        <v>18</v>
      </c>
      <c r="E892">
        <v>480</v>
      </c>
      <c r="F892">
        <v>63</v>
      </c>
      <c r="G892">
        <v>1508</v>
      </c>
      <c r="H892">
        <v>1465</v>
      </c>
      <c r="I892">
        <v>43</v>
      </c>
      <c r="J892">
        <v>13.2</v>
      </c>
      <c r="K892">
        <v>417</v>
      </c>
      <c r="L892">
        <v>0.86875000000000002</v>
      </c>
      <c r="M892">
        <v>0.79558752997601911</v>
      </c>
      <c r="N892">
        <v>0.97148541114058351</v>
      </c>
      <c r="O892">
        <v>0.67145833333333327</v>
      </c>
    </row>
    <row r="893" spans="1:15" x14ac:dyDescent="0.3">
      <c r="A893">
        <v>892</v>
      </c>
      <c r="B893" s="1">
        <v>45732</v>
      </c>
      <c r="C893" t="s">
        <v>15</v>
      </c>
      <c r="D893" t="s">
        <v>19</v>
      </c>
      <c r="E893">
        <v>480</v>
      </c>
      <c r="F893">
        <v>47</v>
      </c>
      <c r="G893">
        <v>1486</v>
      </c>
      <c r="H893">
        <v>1412</v>
      </c>
      <c r="I893">
        <v>74</v>
      </c>
      <c r="J893">
        <v>13.8</v>
      </c>
      <c r="K893">
        <v>433</v>
      </c>
      <c r="L893">
        <v>0.90208333333333335</v>
      </c>
      <c r="M893">
        <v>0.78933025404157042</v>
      </c>
      <c r="N893">
        <v>0.95020188425302832</v>
      </c>
      <c r="O893">
        <v>0.67658333333333343</v>
      </c>
    </row>
    <row r="894" spans="1:15" x14ac:dyDescent="0.3">
      <c r="A894">
        <v>893</v>
      </c>
      <c r="B894" s="1">
        <v>45732</v>
      </c>
      <c r="C894" t="s">
        <v>20</v>
      </c>
      <c r="D894" t="s">
        <v>16</v>
      </c>
      <c r="E894">
        <v>480</v>
      </c>
      <c r="F894">
        <v>175</v>
      </c>
      <c r="G894">
        <v>1349</v>
      </c>
      <c r="H894">
        <v>1330</v>
      </c>
      <c r="I894">
        <v>19</v>
      </c>
      <c r="J894">
        <v>12</v>
      </c>
      <c r="K894">
        <v>305</v>
      </c>
      <c r="L894">
        <v>0.63541666666666663</v>
      </c>
      <c r="M894">
        <v>0.88459016393442624</v>
      </c>
      <c r="N894">
        <v>0.9859154929577465</v>
      </c>
      <c r="O894">
        <v>0.55416666666666659</v>
      </c>
    </row>
    <row r="895" spans="1:15" x14ac:dyDescent="0.3">
      <c r="A895">
        <v>894</v>
      </c>
      <c r="B895" s="1">
        <v>45732</v>
      </c>
      <c r="C895" t="s">
        <v>20</v>
      </c>
      <c r="D895" t="s">
        <v>17</v>
      </c>
      <c r="E895">
        <v>480</v>
      </c>
      <c r="F895">
        <v>80</v>
      </c>
      <c r="G895">
        <v>1804</v>
      </c>
      <c r="H895">
        <v>1778</v>
      </c>
      <c r="I895">
        <v>26</v>
      </c>
      <c r="J895">
        <v>12.6</v>
      </c>
      <c r="K895">
        <v>400</v>
      </c>
      <c r="L895">
        <v>0.83333333333333337</v>
      </c>
      <c r="M895">
        <v>0.94709999999999994</v>
      </c>
      <c r="N895">
        <v>0.98558758314855877</v>
      </c>
      <c r="O895">
        <v>0.77787499999999998</v>
      </c>
    </row>
    <row r="896" spans="1:15" x14ac:dyDescent="0.3">
      <c r="A896">
        <v>895</v>
      </c>
      <c r="B896" s="1">
        <v>45732</v>
      </c>
      <c r="C896" t="s">
        <v>20</v>
      </c>
      <c r="D896" t="s">
        <v>18</v>
      </c>
      <c r="E896">
        <v>480</v>
      </c>
      <c r="F896">
        <v>41</v>
      </c>
      <c r="G896">
        <v>1558</v>
      </c>
      <c r="H896">
        <v>1520</v>
      </c>
      <c r="I896">
        <v>38</v>
      </c>
      <c r="J896">
        <v>13.2</v>
      </c>
      <c r="K896">
        <v>439</v>
      </c>
      <c r="L896">
        <v>0.9145833333333333</v>
      </c>
      <c r="M896">
        <v>0.78077448747152611</v>
      </c>
      <c r="N896">
        <v>0.97560975609756095</v>
      </c>
      <c r="O896">
        <v>0.69666666666666655</v>
      </c>
    </row>
    <row r="897" spans="1:15" x14ac:dyDescent="0.3">
      <c r="A897">
        <v>896</v>
      </c>
      <c r="B897" s="1">
        <v>45732</v>
      </c>
      <c r="C897" t="s">
        <v>20</v>
      </c>
      <c r="D897" t="s">
        <v>19</v>
      </c>
      <c r="E897">
        <v>480</v>
      </c>
      <c r="F897">
        <v>73</v>
      </c>
      <c r="G897">
        <v>1630</v>
      </c>
      <c r="H897">
        <v>1602</v>
      </c>
      <c r="I897">
        <v>28</v>
      </c>
      <c r="J897">
        <v>13.8</v>
      </c>
      <c r="K897">
        <v>407</v>
      </c>
      <c r="L897">
        <v>0.84791666666666665</v>
      </c>
      <c r="M897">
        <v>0.92113022113022114</v>
      </c>
      <c r="N897">
        <v>0.98282208588957054</v>
      </c>
      <c r="O897">
        <v>0.767625</v>
      </c>
    </row>
    <row r="898" spans="1:15" x14ac:dyDescent="0.3">
      <c r="A898">
        <v>897</v>
      </c>
      <c r="B898" s="1">
        <v>45732</v>
      </c>
      <c r="C898" t="s">
        <v>21</v>
      </c>
      <c r="D898" t="s">
        <v>16</v>
      </c>
      <c r="E898">
        <v>480</v>
      </c>
      <c r="F898">
        <v>0</v>
      </c>
      <c r="G898">
        <v>1990</v>
      </c>
      <c r="H898">
        <v>1890</v>
      </c>
      <c r="I898">
        <v>100</v>
      </c>
      <c r="J898">
        <v>12</v>
      </c>
      <c r="K898">
        <v>480</v>
      </c>
      <c r="L898">
        <v>1</v>
      </c>
      <c r="M898">
        <v>0.82916666666666672</v>
      </c>
      <c r="N898">
        <v>0.94974874371859297</v>
      </c>
      <c r="O898">
        <v>0.78750000000000009</v>
      </c>
    </row>
    <row r="899" spans="1:15" x14ac:dyDescent="0.3">
      <c r="A899">
        <v>898</v>
      </c>
      <c r="B899" s="1">
        <v>45732</v>
      </c>
      <c r="C899" t="s">
        <v>21</v>
      </c>
      <c r="D899" t="s">
        <v>17</v>
      </c>
      <c r="E899">
        <v>480</v>
      </c>
      <c r="F899">
        <v>88</v>
      </c>
      <c r="G899">
        <v>1672</v>
      </c>
      <c r="H899">
        <v>1635</v>
      </c>
      <c r="I899">
        <v>37</v>
      </c>
      <c r="J899">
        <v>12.6</v>
      </c>
      <c r="K899">
        <v>392</v>
      </c>
      <c r="L899">
        <v>0.81666666666666665</v>
      </c>
      <c r="M899">
        <v>0.8957142857142858</v>
      </c>
      <c r="N899">
        <v>0.97787081339712922</v>
      </c>
      <c r="O899">
        <v>0.71531250000000002</v>
      </c>
    </row>
    <row r="900" spans="1:15" x14ac:dyDescent="0.3">
      <c r="A900">
        <v>899</v>
      </c>
      <c r="B900" s="1">
        <v>45732</v>
      </c>
      <c r="C900" t="s">
        <v>21</v>
      </c>
      <c r="D900" t="s">
        <v>18</v>
      </c>
      <c r="E900">
        <v>480</v>
      </c>
      <c r="F900">
        <v>142</v>
      </c>
      <c r="G900">
        <v>1157</v>
      </c>
      <c r="H900">
        <v>1124</v>
      </c>
      <c r="I900">
        <v>33</v>
      </c>
      <c r="J900">
        <v>13.2</v>
      </c>
      <c r="K900">
        <v>338</v>
      </c>
      <c r="L900">
        <v>0.70416666666666672</v>
      </c>
      <c r="M900">
        <v>0.75307692307692309</v>
      </c>
      <c r="N900">
        <v>0.97147796024200517</v>
      </c>
      <c r="O900">
        <v>0.51516666666666666</v>
      </c>
    </row>
    <row r="901" spans="1:15" x14ac:dyDescent="0.3">
      <c r="A901">
        <v>900</v>
      </c>
      <c r="B901" s="1">
        <v>45732</v>
      </c>
      <c r="C901" t="s">
        <v>21</v>
      </c>
      <c r="D901" t="s">
        <v>19</v>
      </c>
      <c r="E901">
        <v>480</v>
      </c>
      <c r="F901">
        <v>70</v>
      </c>
      <c r="G901">
        <v>1426</v>
      </c>
      <c r="H901">
        <v>1364</v>
      </c>
      <c r="I901">
        <v>62</v>
      </c>
      <c r="J901">
        <v>13.8</v>
      </c>
      <c r="K901">
        <v>410</v>
      </c>
      <c r="L901">
        <v>0.85416666666666663</v>
      </c>
      <c r="M901">
        <v>0.79995121951219506</v>
      </c>
      <c r="N901">
        <v>0.95652173913043481</v>
      </c>
      <c r="O901">
        <v>0.65358333333333329</v>
      </c>
    </row>
    <row r="902" spans="1:15" x14ac:dyDescent="0.3">
      <c r="A902">
        <v>901</v>
      </c>
      <c r="B902" s="1">
        <v>45733</v>
      </c>
      <c r="C902" t="s">
        <v>15</v>
      </c>
      <c r="D902" t="s">
        <v>16</v>
      </c>
      <c r="E902">
        <v>480</v>
      </c>
      <c r="F902">
        <v>85</v>
      </c>
      <c r="G902">
        <v>1618</v>
      </c>
      <c r="H902">
        <v>1565</v>
      </c>
      <c r="I902">
        <v>53</v>
      </c>
      <c r="J902">
        <v>12</v>
      </c>
      <c r="K902">
        <v>395</v>
      </c>
      <c r="L902">
        <v>0.82291666666666663</v>
      </c>
      <c r="M902">
        <v>0.81924050632911394</v>
      </c>
      <c r="N902">
        <v>0.96724351050679847</v>
      </c>
      <c r="O902">
        <v>0.65208333333333335</v>
      </c>
    </row>
    <row r="903" spans="1:15" x14ac:dyDescent="0.3">
      <c r="A903">
        <v>902</v>
      </c>
      <c r="B903" s="1">
        <v>45733</v>
      </c>
      <c r="C903" t="s">
        <v>15</v>
      </c>
      <c r="D903" t="s">
        <v>17</v>
      </c>
      <c r="E903">
        <v>480</v>
      </c>
      <c r="F903">
        <v>160</v>
      </c>
      <c r="G903">
        <v>1169</v>
      </c>
      <c r="H903">
        <v>1109</v>
      </c>
      <c r="I903">
        <v>60</v>
      </c>
      <c r="J903">
        <v>12.6</v>
      </c>
      <c r="K903">
        <v>320</v>
      </c>
      <c r="L903">
        <v>0.66666666666666663</v>
      </c>
      <c r="M903">
        <v>0.76715624999999998</v>
      </c>
      <c r="N903">
        <v>0.94867408041060741</v>
      </c>
      <c r="O903">
        <v>0.48518749999999999</v>
      </c>
    </row>
    <row r="904" spans="1:15" x14ac:dyDescent="0.3">
      <c r="A904">
        <v>903</v>
      </c>
      <c r="B904" s="1">
        <v>45733</v>
      </c>
      <c r="C904" t="s">
        <v>15</v>
      </c>
      <c r="D904" t="s">
        <v>18</v>
      </c>
      <c r="E904">
        <v>480</v>
      </c>
      <c r="F904">
        <v>103</v>
      </c>
      <c r="G904">
        <v>1466</v>
      </c>
      <c r="H904">
        <v>1435</v>
      </c>
      <c r="I904">
        <v>31</v>
      </c>
      <c r="J904">
        <v>13.2</v>
      </c>
      <c r="K904">
        <v>377</v>
      </c>
      <c r="L904">
        <v>0.78541666666666665</v>
      </c>
      <c r="M904">
        <v>0.85549071618037142</v>
      </c>
      <c r="N904">
        <v>0.97885402455661663</v>
      </c>
      <c r="O904">
        <v>0.65770833333333334</v>
      </c>
    </row>
    <row r="905" spans="1:15" x14ac:dyDescent="0.3">
      <c r="A905">
        <v>904</v>
      </c>
      <c r="B905" s="1">
        <v>45733</v>
      </c>
      <c r="C905" t="s">
        <v>15</v>
      </c>
      <c r="D905" t="s">
        <v>19</v>
      </c>
      <c r="E905">
        <v>480</v>
      </c>
      <c r="F905">
        <v>69</v>
      </c>
      <c r="G905">
        <v>1725</v>
      </c>
      <c r="H905">
        <v>1693</v>
      </c>
      <c r="I905">
        <v>32</v>
      </c>
      <c r="J905">
        <v>13.8</v>
      </c>
      <c r="K905">
        <v>411</v>
      </c>
      <c r="L905">
        <v>0.85624999999999996</v>
      </c>
      <c r="M905">
        <v>0.96532846715328469</v>
      </c>
      <c r="N905">
        <v>0.98144927536231885</v>
      </c>
      <c r="O905">
        <v>0.81122916666666667</v>
      </c>
    </row>
    <row r="906" spans="1:15" x14ac:dyDescent="0.3">
      <c r="A906">
        <v>905</v>
      </c>
      <c r="B906" s="1">
        <v>45733</v>
      </c>
      <c r="C906" t="s">
        <v>20</v>
      </c>
      <c r="D906" t="s">
        <v>16</v>
      </c>
      <c r="E906">
        <v>480</v>
      </c>
      <c r="F906">
        <v>0</v>
      </c>
      <c r="G906">
        <v>2114</v>
      </c>
      <c r="H906">
        <v>2002</v>
      </c>
      <c r="I906">
        <v>112</v>
      </c>
      <c r="J906">
        <v>12</v>
      </c>
      <c r="K906">
        <v>480</v>
      </c>
      <c r="L906">
        <v>1</v>
      </c>
      <c r="M906">
        <v>0.88083333333333336</v>
      </c>
      <c r="N906">
        <v>0.94701986754966883</v>
      </c>
      <c r="O906">
        <v>0.83416666666666661</v>
      </c>
    </row>
    <row r="907" spans="1:15" x14ac:dyDescent="0.3">
      <c r="A907">
        <v>906</v>
      </c>
      <c r="B907" s="1">
        <v>45733</v>
      </c>
      <c r="C907" t="s">
        <v>20</v>
      </c>
      <c r="D907" t="s">
        <v>17</v>
      </c>
      <c r="E907">
        <v>480</v>
      </c>
      <c r="F907">
        <v>72</v>
      </c>
      <c r="G907">
        <v>1457</v>
      </c>
      <c r="H907">
        <v>1410</v>
      </c>
      <c r="I907">
        <v>47</v>
      </c>
      <c r="J907">
        <v>12.6</v>
      </c>
      <c r="K907">
        <v>408</v>
      </c>
      <c r="L907">
        <v>0.85</v>
      </c>
      <c r="M907">
        <v>0.74992647058823536</v>
      </c>
      <c r="N907">
        <v>0.967741935483871</v>
      </c>
      <c r="O907">
        <v>0.61687500000000006</v>
      </c>
    </row>
    <row r="908" spans="1:15" x14ac:dyDescent="0.3">
      <c r="A908">
        <v>907</v>
      </c>
      <c r="B908" s="1">
        <v>45733</v>
      </c>
      <c r="C908" t="s">
        <v>20</v>
      </c>
      <c r="D908" t="s">
        <v>18</v>
      </c>
      <c r="E908">
        <v>480</v>
      </c>
      <c r="F908">
        <v>57</v>
      </c>
      <c r="G908">
        <v>1873</v>
      </c>
      <c r="H908">
        <v>1833</v>
      </c>
      <c r="I908">
        <v>40</v>
      </c>
      <c r="J908">
        <v>13.2</v>
      </c>
      <c r="K908">
        <v>423</v>
      </c>
      <c r="L908">
        <v>0.88124999999999998</v>
      </c>
      <c r="M908">
        <v>0.97413711583924345</v>
      </c>
      <c r="N908">
        <v>0.97864388681260006</v>
      </c>
      <c r="O908">
        <v>0.8401249999999999</v>
      </c>
    </row>
    <row r="909" spans="1:15" x14ac:dyDescent="0.3">
      <c r="A909">
        <v>908</v>
      </c>
      <c r="B909" s="1">
        <v>45733</v>
      </c>
      <c r="C909" t="s">
        <v>20</v>
      </c>
      <c r="D909" t="s">
        <v>19</v>
      </c>
      <c r="E909">
        <v>480</v>
      </c>
      <c r="F909">
        <v>50</v>
      </c>
      <c r="G909">
        <v>1525</v>
      </c>
      <c r="H909">
        <v>1454</v>
      </c>
      <c r="I909">
        <v>71</v>
      </c>
      <c r="J909">
        <v>13.8</v>
      </c>
      <c r="K909">
        <v>430</v>
      </c>
      <c r="L909">
        <v>0.89583333333333337</v>
      </c>
      <c r="M909">
        <v>0.81569767441860463</v>
      </c>
      <c r="N909">
        <v>0.95344262295081972</v>
      </c>
      <c r="O909">
        <v>0.69670833333333337</v>
      </c>
    </row>
    <row r="910" spans="1:15" x14ac:dyDescent="0.3">
      <c r="A910">
        <v>909</v>
      </c>
      <c r="B910" s="1">
        <v>45733</v>
      </c>
      <c r="C910" t="s">
        <v>21</v>
      </c>
      <c r="D910" t="s">
        <v>16</v>
      </c>
      <c r="E910">
        <v>480</v>
      </c>
      <c r="F910">
        <v>20</v>
      </c>
      <c r="G910">
        <v>2110</v>
      </c>
      <c r="H910">
        <v>1997</v>
      </c>
      <c r="I910">
        <v>113</v>
      </c>
      <c r="J910">
        <v>12</v>
      </c>
      <c r="K910">
        <v>460</v>
      </c>
      <c r="L910">
        <v>0.95833333333333337</v>
      </c>
      <c r="M910">
        <v>0.91739130434782612</v>
      </c>
      <c r="N910">
        <v>0.9464454976303317</v>
      </c>
      <c r="O910">
        <v>0.8320833333333334</v>
      </c>
    </row>
    <row r="911" spans="1:15" x14ac:dyDescent="0.3">
      <c r="A911">
        <v>910</v>
      </c>
      <c r="B911" s="1">
        <v>45733</v>
      </c>
      <c r="C911" t="s">
        <v>21</v>
      </c>
      <c r="D911" t="s">
        <v>17</v>
      </c>
      <c r="E911">
        <v>480</v>
      </c>
      <c r="F911">
        <v>73</v>
      </c>
      <c r="G911">
        <v>1551</v>
      </c>
      <c r="H911">
        <v>1500</v>
      </c>
      <c r="I911">
        <v>51</v>
      </c>
      <c r="J911">
        <v>12.6</v>
      </c>
      <c r="K911">
        <v>407</v>
      </c>
      <c r="L911">
        <v>0.84791666666666665</v>
      </c>
      <c r="M911">
        <v>0.8002702702702702</v>
      </c>
      <c r="N911">
        <v>0.96711798839458418</v>
      </c>
      <c r="O911">
        <v>0.65625</v>
      </c>
    </row>
    <row r="912" spans="1:15" x14ac:dyDescent="0.3">
      <c r="A912">
        <v>911</v>
      </c>
      <c r="B912" s="1">
        <v>45733</v>
      </c>
      <c r="C912" t="s">
        <v>21</v>
      </c>
      <c r="D912" t="s">
        <v>18</v>
      </c>
      <c r="E912">
        <v>480</v>
      </c>
      <c r="F912">
        <v>93</v>
      </c>
      <c r="G912">
        <v>1512</v>
      </c>
      <c r="H912">
        <v>1487</v>
      </c>
      <c r="I912">
        <v>25</v>
      </c>
      <c r="J912">
        <v>13.2</v>
      </c>
      <c r="K912">
        <v>387</v>
      </c>
      <c r="L912">
        <v>0.80625000000000002</v>
      </c>
      <c r="M912">
        <v>0.85953488372093012</v>
      </c>
      <c r="N912">
        <v>0.98346560846560849</v>
      </c>
      <c r="O912">
        <v>0.6815416666666666</v>
      </c>
    </row>
    <row r="913" spans="1:15" x14ac:dyDescent="0.3">
      <c r="A913">
        <v>912</v>
      </c>
      <c r="B913" s="1">
        <v>45733</v>
      </c>
      <c r="C913" t="s">
        <v>21</v>
      </c>
      <c r="D913" t="s">
        <v>19</v>
      </c>
      <c r="E913">
        <v>480</v>
      </c>
      <c r="F913">
        <v>30</v>
      </c>
      <c r="G913">
        <v>1684</v>
      </c>
      <c r="H913">
        <v>1624</v>
      </c>
      <c r="I913">
        <v>60</v>
      </c>
      <c r="J913">
        <v>13.8</v>
      </c>
      <c r="K913">
        <v>450</v>
      </c>
      <c r="L913">
        <v>0.9375</v>
      </c>
      <c r="M913">
        <v>0.86071111111111109</v>
      </c>
      <c r="N913">
        <v>0.96437054631828978</v>
      </c>
      <c r="O913">
        <v>0.77816666666666656</v>
      </c>
    </row>
    <row r="914" spans="1:15" x14ac:dyDescent="0.3">
      <c r="A914">
        <v>913</v>
      </c>
      <c r="B914" s="1">
        <v>45734</v>
      </c>
      <c r="C914" t="s">
        <v>15</v>
      </c>
      <c r="D914" t="s">
        <v>16</v>
      </c>
      <c r="E914">
        <v>480</v>
      </c>
      <c r="F914">
        <v>55</v>
      </c>
      <c r="G914">
        <v>1791</v>
      </c>
      <c r="H914">
        <v>1690</v>
      </c>
      <c r="I914">
        <v>101</v>
      </c>
      <c r="J914">
        <v>12</v>
      </c>
      <c r="K914">
        <v>425</v>
      </c>
      <c r="L914">
        <v>0.88541666666666663</v>
      </c>
      <c r="M914">
        <v>0.84282352941176475</v>
      </c>
      <c r="N914">
        <v>0.94360692350642095</v>
      </c>
      <c r="O914">
        <v>0.70416666666666661</v>
      </c>
    </row>
    <row r="915" spans="1:15" x14ac:dyDescent="0.3">
      <c r="A915">
        <v>914</v>
      </c>
      <c r="B915" s="1">
        <v>45734</v>
      </c>
      <c r="C915" t="s">
        <v>15</v>
      </c>
      <c r="D915" t="s">
        <v>17</v>
      </c>
      <c r="E915">
        <v>480</v>
      </c>
      <c r="F915">
        <v>0</v>
      </c>
      <c r="G915">
        <v>1983</v>
      </c>
      <c r="H915">
        <v>1873</v>
      </c>
      <c r="I915">
        <v>110</v>
      </c>
      <c r="J915">
        <v>12.6</v>
      </c>
      <c r="K915">
        <v>480</v>
      </c>
      <c r="L915">
        <v>1</v>
      </c>
      <c r="M915">
        <v>0.86756250000000001</v>
      </c>
      <c r="N915">
        <v>0.94452849218356028</v>
      </c>
      <c r="O915">
        <v>0.81943750000000004</v>
      </c>
    </row>
    <row r="916" spans="1:15" x14ac:dyDescent="0.3">
      <c r="A916">
        <v>915</v>
      </c>
      <c r="B916" s="1">
        <v>45734</v>
      </c>
      <c r="C916" t="s">
        <v>15</v>
      </c>
      <c r="D916" t="s">
        <v>18</v>
      </c>
      <c r="E916">
        <v>480</v>
      </c>
      <c r="F916">
        <v>19</v>
      </c>
      <c r="G916">
        <v>1648</v>
      </c>
      <c r="H916">
        <v>1552</v>
      </c>
      <c r="I916">
        <v>96</v>
      </c>
      <c r="J916">
        <v>13.2</v>
      </c>
      <c r="K916">
        <v>461</v>
      </c>
      <c r="L916">
        <v>0.9604166666666667</v>
      </c>
      <c r="M916">
        <v>0.78646420824295005</v>
      </c>
      <c r="N916">
        <v>0.94174757281553401</v>
      </c>
      <c r="O916">
        <v>0.71133333333333337</v>
      </c>
    </row>
    <row r="917" spans="1:15" x14ac:dyDescent="0.3">
      <c r="A917">
        <v>916</v>
      </c>
      <c r="B917" s="1">
        <v>45734</v>
      </c>
      <c r="C917" t="s">
        <v>15</v>
      </c>
      <c r="D917" t="s">
        <v>19</v>
      </c>
      <c r="E917">
        <v>480</v>
      </c>
      <c r="F917">
        <v>5</v>
      </c>
      <c r="G917">
        <v>1980</v>
      </c>
      <c r="H917">
        <v>1942</v>
      </c>
      <c r="I917">
        <v>38</v>
      </c>
      <c r="J917">
        <v>13.8</v>
      </c>
      <c r="K917">
        <v>475</v>
      </c>
      <c r="L917">
        <v>0.98958333333333337</v>
      </c>
      <c r="M917">
        <v>0.95873684210526311</v>
      </c>
      <c r="N917">
        <v>0.9808080808080808</v>
      </c>
      <c r="O917">
        <v>0.9305416666666666</v>
      </c>
    </row>
    <row r="918" spans="1:15" x14ac:dyDescent="0.3">
      <c r="A918">
        <v>917</v>
      </c>
      <c r="B918" s="1">
        <v>45734</v>
      </c>
      <c r="C918" t="s">
        <v>20</v>
      </c>
      <c r="D918" t="s">
        <v>16</v>
      </c>
      <c r="E918">
        <v>480</v>
      </c>
      <c r="F918">
        <v>5</v>
      </c>
      <c r="G918">
        <v>1905</v>
      </c>
      <c r="H918">
        <v>1798</v>
      </c>
      <c r="I918">
        <v>107</v>
      </c>
      <c r="J918">
        <v>12</v>
      </c>
      <c r="K918">
        <v>475</v>
      </c>
      <c r="L918">
        <v>0.98958333333333337</v>
      </c>
      <c r="M918">
        <v>0.80210526315789477</v>
      </c>
      <c r="N918">
        <v>0.94383202099737529</v>
      </c>
      <c r="O918">
        <v>0.74916666666666665</v>
      </c>
    </row>
    <row r="919" spans="1:15" x14ac:dyDescent="0.3">
      <c r="A919">
        <v>918</v>
      </c>
      <c r="B919" s="1">
        <v>45734</v>
      </c>
      <c r="C919" t="s">
        <v>20</v>
      </c>
      <c r="D919" t="s">
        <v>17</v>
      </c>
      <c r="E919">
        <v>480</v>
      </c>
      <c r="F919">
        <v>152</v>
      </c>
      <c r="G919">
        <v>1399</v>
      </c>
      <c r="H919">
        <v>1380</v>
      </c>
      <c r="I919">
        <v>19</v>
      </c>
      <c r="J919">
        <v>12.6</v>
      </c>
      <c r="K919">
        <v>328</v>
      </c>
      <c r="L919">
        <v>0.68333333333333335</v>
      </c>
      <c r="M919">
        <v>0.89570121951219506</v>
      </c>
      <c r="N919">
        <v>0.98641887062187272</v>
      </c>
      <c r="O919">
        <v>0.6037499999999999</v>
      </c>
    </row>
    <row r="920" spans="1:15" x14ac:dyDescent="0.3">
      <c r="A920">
        <v>919</v>
      </c>
      <c r="B920" s="1">
        <v>45734</v>
      </c>
      <c r="C920" t="s">
        <v>20</v>
      </c>
      <c r="D920" t="s">
        <v>18</v>
      </c>
      <c r="E920">
        <v>480</v>
      </c>
      <c r="F920">
        <v>12</v>
      </c>
      <c r="G920">
        <v>1878</v>
      </c>
      <c r="H920">
        <v>1770</v>
      </c>
      <c r="I920">
        <v>108</v>
      </c>
      <c r="J920">
        <v>13.2</v>
      </c>
      <c r="K920">
        <v>468</v>
      </c>
      <c r="L920">
        <v>0.97499999999999998</v>
      </c>
      <c r="M920">
        <v>0.88282051282051277</v>
      </c>
      <c r="N920">
        <v>0.94249201277955275</v>
      </c>
      <c r="O920">
        <v>0.81124999999999992</v>
      </c>
    </row>
    <row r="921" spans="1:15" x14ac:dyDescent="0.3">
      <c r="A921">
        <v>920</v>
      </c>
      <c r="B921" s="1">
        <v>45734</v>
      </c>
      <c r="C921" t="s">
        <v>20</v>
      </c>
      <c r="D921" t="s">
        <v>19</v>
      </c>
      <c r="E921">
        <v>480</v>
      </c>
      <c r="F921">
        <v>12</v>
      </c>
      <c r="G921">
        <v>1926</v>
      </c>
      <c r="H921">
        <v>1865</v>
      </c>
      <c r="I921">
        <v>61</v>
      </c>
      <c r="J921">
        <v>13.8</v>
      </c>
      <c r="K921">
        <v>468</v>
      </c>
      <c r="L921">
        <v>0.97499999999999998</v>
      </c>
      <c r="M921">
        <v>0.94653846153846166</v>
      </c>
      <c r="N921">
        <v>0.9683281412253375</v>
      </c>
      <c r="O921">
        <v>0.89364583333333347</v>
      </c>
    </row>
    <row r="922" spans="1:15" x14ac:dyDescent="0.3">
      <c r="A922">
        <v>921</v>
      </c>
      <c r="B922" s="1">
        <v>45734</v>
      </c>
      <c r="C922" t="s">
        <v>21</v>
      </c>
      <c r="D922" t="s">
        <v>16</v>
      </c>
      <c r="E922">
        <v>480</v>
      </c>
      <c r="F922">
        <v>0</v>
      </c>
      <c r="G922">
        <v>1905</v>
      </c>
      <c r="H922">
        <v>1813</v>
      </c>
      <c r="I922">
        <v>92</v>
      </c>
      <c r="J922">
        <v>12</v>
      </c>
      <c r="K922">
        <v>480</v>
      </c>
      <c r="L922">
        <v>1</v>
      </c>
      <c r="M922">
        <v>0.79374999999999996</v>
      </c>
      <c r="N922">
        <v>0.95170603674540677</v>
      </c>
      <c r="O922">
        <v>0.75541666666666663</v>
      </c>
    </row>
    <row r="923" spans="1:15" x14ac:dyDescent="0.3">
      <c r="A923">
        <v>922</v>
      </c>
      <c r="B923" s="1">
        <v>45734</v>
      </c>
      <c r="C923" t="s">
        <v>21</v>
      </c>
      <c r="D923" t="s">
        <v>17</v>
      </c>
      <c r="E923">
        <v>480</v>
      </c>
      <c r="F923">
        <v>17</v>
      </c>
      <c r="G923">
        <v>1889</v>
      </c>
      <c r="H923">
        <v>1782</v>
      </c>
      <c r="I923">
        <v>107</v>
      </c>
      <c r="J923">
        <v>12.6</v>
      </c>
      <c r="K923">
        <v>463</v>
      </c>
      <c r="L923">
        <v>0.96458333333333335</v>
      </c>
      <c r="M923">
        <v>0.85678185745140378</v>
      </c>
      <c r="N923">
        <v>0.94335627316040238</v>
      </c>
      <c r="O923">
        <v>0.77962500000000001</v>
      </c>
    </row>
    <row r="924" spans="1:15" x14ac:dyDescent="0.3">
      <c r="A924">
        <v>923</v>
      </c>
      <c r="B924" s="1">
        <v>45734</v>
      </c>
      <c r="C924" t="s">
        <v>21</v>
      </c>
      <c r="D924" t="s">
        <v>18</v>
      </c>
      <c r="E924">
        <v>480</v>
      </c>
      <c r="F924">
        <v>5</v>
      </c>
      <c r="G924">
        <v>1872</v>
      </c>
      <c r="H924">
        <v>1811</v>
      </c>
      <c r="I924">
        <v>61</v>
      </c>
      <c r="J924">
        <v>13.2</v>
      </c>
      <c r="K924">
        <v>475</v>
      </c>
      <c r="L924">
        <v>0.98958333333333337</v>
      </c>
      <c r="M924">
        <v>0.86703157894736838</v>
      </c>
      <c r="N924">
        <v>0.96741452991452992</v>
      </c>
      <c r="O924">
        <v>0.83004166666666668</v>
      </c>
    </row>
    <row r="925" spans="1:15" x14ac:dyDescent="0.3">
      <c r="A925">
        <v>924</v>
      </c>
      <c r="B925" s="1">
        <v>45734</v>
      </c>
      <c r="C925" t="s">
        <v>21</v>
      </c>
      <c r="D925" t="s">
        <v>19</v>
      </c>
      <c r="E925">
        <v>480</v>
      </c>
      <c r="F925">
        <v>63</v>
      </c>
      <c r="G925">
        <v>1443</v>
      </c>
      <c r="H925">
        <v>1426</v>
      </c>
      <c r="I925">
        <v>17</v>
      </c>
      <c r="J925">
        <v>13.8</v>
      </c>
      <c r="K925">
        <v>417</v>
      </c>
      <c r="L925">
        <v>0.86875000000000002</v>
      </c>
      <c r="M925">
        <v>0.7958992805755396</v>
      </c>
      <c r="N925">
        <v>0.98821898821898824</v>
      </c>
      <c r="O925">
        <v>0.68329166666666674</v>
      </c>
    </row>
    <row r="926" spans="1:15" x14ac:dyDescent="0.3">
      <c r="A926">
        <v>925</v>
      </c>
      <c r="B926" s="1">
        <v>45735</v>
      </c>
      <c r="C926" t="s">
        <v>15</v>
      </c>
      <c r="D926" t="s">
        <v>16</v>
      </c>
      <c r="E926">
        <v>480</v>
      </c>
      <c r="F926">
        <v>11</v>
      </c>
      <c r="G926">
        <v>2191</v>
      </c>
      <c r="H926">
        <v>2076</v>
      </c>
      <c r="I926">
        <v>115</v>
      </c>
      <c r="J926">
        <v>12</v>
      </c>
      <c r="K926">
        <v>469</v>
      </c>
      <c r="L926">
        <v>0.9770833333333333</v>
      </c>
      <c r="M926">
        <v>0.93432835820895521</v>
      </c>
      <c r="N926">
        <v>0.94751255134641721</v>
      </c>
      <c r="O926">
        <v>0.86499999999999999</v>
      </c>
    </row>
    <row r="927" spans="1:15" x14ac:dyDescent="0.3">
      <c r="A927">
        <v>926</v>
      </c>
      <c r="B927" s="1">
        <v>45735</v>
      </c>
      <c r="C927" t="s">
        <v>15</v>
      </c>
      <c r="D927" t="s">
        <v>17</v>
      </c>
      <c r="E927">
        <v>480</v>
      </c>
      <c r="F927">
        <v>13</v>
      </c>
      <c r="G927">
        <v>1778</v>
      </c>
      <c r="H927">
        <v>1735</v>
      </c>
      <c r="I927">
        <v>43</v>
      </c>
      <c r="J927">
        <v>12.6</v>
      </c>
      <c r="K927">
        <v>467</v>
      </c>
      <c r="L927">
        <v>0.97291666666666665</v>
      </c>
      <c r="M927">
        <v>0.7995289079229122</v>
      </c>
      <c r="N927">
        <v>0.9758155230596175</v>
      </c>
      <c r="O927">
        <v>0.75906249999999997</v>
      </c>
    </row>
    <row r="928" spans="1:15" x14ac:dyDescent="0.3">
      <c r="A928">
        <v>927</v>
      </c>
      <c r="B928" s="1">
        <v>45735</v>
      </c>
      <c r="C928" t="s">
        <v>15</v>
      </c>
      <c r="D928" t="s">
        <v>18</v>
      </c>
      <c r="E928">
        <v>480</v>
      </c>
      <c r="F928">
        <v>0</v>
      </c>
      <c r="G928">
        <v>1826</v>
      </c>
      <c r="H928">
        <v>1725</v>
      </c>
      <c r="I928">
        <v>101</v>
      </c>
      <c r="J928">
        <v>13.2</v>
      </c>
      <c r="K928">
        <v>480</v>
      </c>
      <c r="L928">
        <v>1</v>
      </c>
      <c r="M928">
        <v>0.83691666666666653</v>
      </c>
      <c r="N928">
        <v>0.94468784227820368</v>
      </c>
      <c r="O928">
        <v>0.7906249999999998</v>
      </c>
    </row>
    <row r="929" spans="1:15" x14ac:dyDescent="0.3">
      <c r="A929">
        <v>928</v>
      </c>
      <c r="B929" s="1">
        <v>45735</v>
      </c>
      <c r="C929" t="s">
        <v>15</v>
      </c>
      <c r="D929" t="s">
        <v>19</v>
      </c>
      <c r="E929">
        <v>480</v>
      </c>
      <c r="F929">
        <v>62</v>
      </c>
      <c r="G929">
        <v>1654</v>
      </c>
      <c r="H929">
        <v>1585</v>
      </c>
      <c r="I929">
        <v>69</v>
      </c>
      <c r="J929">
        <v>13.8</v>
      </c>
      <c r="K929">
        <v>418</v>
      </c>
      <c r="L929">
        <v>0.87083333333333335</v>
      </c>
      <c r="M929">
        <v>0.91009569377990429</v>
      </c>
      <c r="N929">
        <v>0.95828295042321643</v>
      </c>
      <c r="O929">
        <v>0.75947916666666671</v>
      </c>
    </row>
    <row r="930" spans="1:15" x14ac:dyDescent="0.3">
      <c r="A930">
        <v>929</v>
      </c>
      <c r="B930" s="1">
        <v>45735</v>
      </c>
      <c r="C930" t="s">
        <v>20</v>
      </c>
      <c r="D930" t="s">
        <v>16</v>
      </c>
      <c r="E930">
        <v>480</v>
      </c>
      <c r="F930">
        <v>5</v>
      </c>
      <c r="G930">
        <v>2298</v>
      </c>
      <c r="H930">
        <v>2221</v>
      </c>
      <c r="I930">
        <v>77</v>
      </c>
      <c r="J930">
        <v>12</v>
      </c>
      <c r="K930">
        <v>475</v>
      </c>
      <c r="L930">
        <v>0.98958333333333337</v>
      </c>
      <c r="M930">
        <v>0.96757894736842109</v>
      </c>
      <c r="N930">
        <v>0.96649260226283729</v>
      </c>
      <c r="O930">
        <v>0.92541666666666678</v>
      </c>
    </row>
    <row r="931" spans="1:15" x14ac:dyDescent="0.3">
      <c r="A931">
        <v>930</v>
      </c>
      <c r="B931" s="1">
        <v>45735</v>
      </c>
      <c r="C931" t="s">
        <v>20</v>
      </c>
      <c r="D931" t="s">
        <v>17</v>
      </c>
      <c r="E931">
        <v>480</v>
      </c>
      <c r="F931">
        <v>102</v>
      </c>
      <c r="G931">
        <v>1369</v>
      </c>
      <c r="H931">
        <v>1317</v>
      </c>
      <c r="I931">
        <v>52</v>
      </c>
      <c r="J931">
        <v>12.6</v>
      </c>
      <c r="K931">
        <v>378</v>
      </c>
      <c r="L931">
        <v>0.78749999999999998</v>
      </c>
      <c r="M931">
        <v>0.76055555555555543</v>
      </c>
      <c r="N931">
        <v>0.96201607012417822</v>
      </c>
      <c r="O931">
        <v>0.57618749999999985</v>
      </c>
    </row>
    <row r="932" spans="1:15" x14ac:dyDescent="0.3">
      <c r="A932">
        <v>931</v>
      </c>
      <c r="B932" s="1">
        <v>45735</v>
      </c>
      <c r="C932" t="s">
        <v>20</v>
      </c>
      <c r="D932" t="s">
        <v>18</v>
      </c>
      <c r="E932">
        <v>480</v>
      </c>
      <c r="F932">
        <v>96</v>
      </c>
      <c r="G932">
        <v>1317</v>
      </c>
      <c r="H932">
        <v>1255</v>
      </c>
      <c r="I932">
        <v>62</v>
      </c>
      <c r="J932">
        <v>13.2</v>
      </c>
      <c r="K932">
        <v>384</v>
      </c>
      <c r="L932">
        <v>0.8</v>
      </c>
      <c r="M932">
        <v>0.75453124999999988</v>
      </c>
      <c r="N932">
        <v>0.95292331055429003</v>
      </c>
      <c r="O932">
        <v>0.57520833333333332</v>
      </c>
    </row>
    <row r="933" spans="1:15" x14ac:dyDescent="0.3">
      <c r="A933">
        <v>932</v>
      </c>
      <c r="B933" s="1">
        <v>45735</v>
      </c>
      <c r="C933" t="s">
        <v>20</v>
      </c>
      <c r="D933" t="s">
        <v>19</v>
      </c>
      <c r="E933">
        <v>480</v>
      </c>
      <c r="F933">
        <v>77</v>
      </c>
      <c r="G933">
        <v>1459</v>
      </c>
      <c r="H933">
        <v>1405</v>
      </c>
      <c r="I933">
        <v>54</v>
      </c>
      <c r="J933">
        <v>13.8</v>
      </c>
      <c r="K933">
        <v>403</v>
      </c>
      <c r="L933">
        <v>0.83958333333333335</v>
      </c>
      <c r="M933">
        <v>0.83267990074441689</v>
      </c>
      <c r="N933">
        <v>0.9629883481836875</v>
      </c>
      <c r="O933">
        <v>0.67322916666666666</v>
      </c>
    </row>
    <row r="934" spans="1:15" x14ac:dyDescent="0.3">
      <c r="A934">
        <v>933</v>
      </c>
      <c r="B934" s="1">
        <v>45735</v>
      </c>
      <c r="C934" t="s">
        <v>21</v>
      </c>
      <c r="D934" t="s">
        <v>16</v>
      </c>
      <c r="E934">
        <v>480</v>
      </c>
      <c r="F934">
        <v>92</v>
      </c>
      <c r="G934">
        <v>1543</v>
      </c>
      <c r="H934">
        <v>1482</v>
      </c>
      <c r="I934">
        <v>61</v>
      </c>
      <c r="J934">
        <v>12</v>
      </c>
      <c r="K934">
        <v>388</v>
      </c>
      <c r="L934">
        <v>0.80833333333333335</v>
      </c>
      <c r="M934">
        <v>0.79536082474226799</v>
      </c>
      <c r="N934">
        <v>0.9604666234607907</v>
      </c>
      <c r="O934">
        <v>0.61750000000000005</v>
      </c>
    </row>
    <row r="935" spans="1:15" x14ac:dyDescent="0.3">
      <c r="A935">
        <v>934</v>
      </c>
      <c r="B935" s="1">
        <v>45735</v>
      </c>
      <c r="C935" t="s">
        <v>21</v>
      </c>
      <c r="D935" t="s">
        <v>17</v>
      </c>
      <c r="E935">
        <v>480</v>
      </c>
      <c r="F935">
        <v>0</v>
      </c>
      <c r="G935">
        <v>1931</v>
      </c>
      <c r="H935">
        <v>1859</v>
      </c>
      <c r="I935">
        <v>72</v>
      </c>
      <c r="J935">
        <v>12.6</v>
      </c>
      <c r="K935">
        <v>480</v>
      </c>
      <c r="L935">
        <v>1</v>
      </c>
      <c r="M935">
        <v>0.84481249999999997</v>
      </c>
      <c r="N935">
        <v>0.9627136198860694</v>
      </c>
      <c r="O935">
        <v>0.81331249999999999</v>
      </c>
    </row>
    <row r="936" spans="1:15" x14ac:dyDescent="0.3">
      <c r="A936">
        <v>935</v>
      </c>
      <c r="B936" s="1">
        <v>45735</v>
      </c>
      <c r="C936" t="s">
        <v>21</v>
      </c>
      <c r="D936" t="s">
        <v>18</v>
      </c>
      <c r="E936">
        <v>480</v>
      </c>
      <c r="F936">
        <v>90</v>
      </c>
      <c r="G936">
        <v>1453</v>
      </c>
      <c r="H936">
        <v>1408</v>
      </c>
      <c r="I936">
        <v>45</v>
      </c>
      <c r="J936">
        <v>13.2</v>
      </c>
      <c r="K936">
        <v>390</v>
      </c>
      <c r="L936">
        <v>0.8125</v>
      </c>
      <c r="M936">
        <v>0.81964102564102559</v>
      </c>
      <c r="N936">
        <v>0.96902959394356503</v>
      </c>
      <c r="O936">
        <v>0.64533333333333331</v>
      </c>
    </row>
    <row r="937" spans="1:15" x14ac:dyDescent="0.3">
      <c r="A937">
        <v>936</v>
      </c>
      <c r="B937" s="1">
        <v>45735</v>
      </c>
      <c r="C937" t="s">
        <v>21</v>
      </c>
      <c r="D937" t="s">
        <v>19</v>
      </c>
      <c r="E937">
        <v>480</v>
      </c>
      <c r="F937">
        <v>132</v>
      </c>
      <c r="G937">
        <v>1218</v>
      </c>
      <c r="H937">
        <v>1192</v>
      </c>
      <c r="I937">
        <v>26</v>
      </c>
      <c r="J937">
        <v>13.8</v>
      </c>
      <c r="K937">
        <v>348</v>
      </c>
      <c r="L937">
        <v>0.72499999999999998</v>
      </c>
      <c r="M937">
        <v>0.80500000000000005</v>
      </c>
      <c r="N937">
        <v>0.97865353037766833</v>
      </c>
      <c r="O937">
        <v>0.57116666666666671</v>
      </c>
    </row>
    <row r="938" spans="1:15" x14ac:dyDescent="0.3">
      <c r="A938">
        <v>937</v>
      </c>
      <c r="B938" s="1">
        <v>45736</v>
      </c>
      <c r="C938" t="s">
        <v>15</v>
      </c>
      <c r="D938" t="s">
        <v>16</v>
      </c>
      <c r="E938">
        <v>480</v>
      </c>
      <c r="F938">
        <v>0</v>
      </c>
      <c r="G938">
        <v>2312</v>
      </c>
      <c r="H938">
        <v>2222</v>
      </c>
      <c r="I938">
        <v>90</v>
      </c>
      <c r="J938">
        <v>12</v>
      </c>
      <c r="K938">
        <v>480</v>
      </c>
      <c r="L938">
        <v>1</v>
      </c>
      <c r="M938">
        <v>0.96333333333333337</v>
      </c>
      <c r="N938">
        <v>0.96107266435986161</v>
      </c>
      <c r="O938">
        <v>0.9258333333333334</v>
      </c>
    </row>
    <row r="939" spans="1:15" x14ac:dyDescent="0.3">
      <c r="A939">
        <v>938</v>
      </c>
      <c r="B939" s="1">
        <v>45736</v>
      </c>
      <c r="C939" t="s">
        <v>15</v>
      </c>
      <c r="D939" t="s">
        <v>17</v>
      </c>
      <c r="E939">
        <v>480</v>
      </c>
      <c r="F939">
        <v>85</v>
      </c>
      <c r="G939">
        <v>1742</v>
      </c>
      <c r="H939">
        <v>1695</v>
      </c>
      <c r="I939">
        <v>47</v>
      </c>
      <c r="J939">
        <v>12.6</v>
      </c>
      <c r="K939">
        <v>395</v>
      </c>
      <c r="L939">
        <v>0.82291666666666663</v>
      </c>
      <c r="M939">
        <v>0.92612658227848099</v>
      </c>
      <c r="N939">
        <v>0.97301951779563722</v>
      </c>
      <c r="O939">
        <v>0.74156250000000001</v>
      </c>
    </row>
    <row r="940" spans="1:15" x14ac:dyDescent="0.3">
      <c r="A940">
        <v>939</v>
      </c>
      <c r="B940" s="1">
        <v>45736</v>
      </c>
      <c r="C940" t="s">
        <v>15</v>
      </c>
      <c r="D940" t="s">
        <v>18</v>
      </c>
      <c r="E940">
        <v>480</v>
      </c>
      <c r="F940">
        <v>12</v>
      </c>
      <c r="G940">
        <v>1697</v>
      </c>
      <c r="H940">
        <v>1659</v>
      </c>
      <c r="I940">
        <v>38</v>
      </c>
      <c r="J940">
        <v>13.2</v>
      </c>
      <c r="K940">
        <v>468</v>
      </c>
      <c r="L940">
        <v>0.97499999999999998</v>
      </c>
      <c r="M940">
        <v>0.7977350427350427</v>
      </c>
      <c r="N940">
        <v>0.97760754272245143</v>
      </c>
      <c r="O940">
        <v>0.76037500000000002</v>
      </c>
    </row>
    <row r="941" spans="1:15" x14ac:dyDescent="0.3">
      <c r="A941">
        <v>940</v>
      </c>
      <c r="B941" s="1">
        <v>45736</v>
      </c>
      <c r="C941" t="s">
        <v>15</v>
      </c>
      <c r="D941" t="s">
        <v>19</v>
      </c>
      <c r="E941">
        <v>480</v>
      </c>
      <c r="F941">
        <v>45</v>
      </c>
      <c r="G941">
        <v>1573</v>
      </c>
      <c r="H941">
        <v>1499</v>
      </c>
      <c r="I941">
        <v>74</v>
      </c>
      <c r="J941">
        <v>13.8</v>
      </c>
      <c r="K941">
        <v>435</v>
      </c>
      <c r="L941">
        <v>0.90625</v>
      </c>
      <c r="M941">
        <v>0.83170114942528739</v>
      </c>
      <c r="N941">
        <v>0.95295613477431662</v>
      </c>
      <c r="O941">
        <v>0.71827083333333341</v>
      </c>
    </row>
    <row r="942" spans="1:15" x14ac:dyDescent="0.3">
      <c r="A942">
        <v>941</v>
      </c>
      <c r="B942" s="1">
        <v>45736</v>
      </c>
      <c r="C942" t="s">
        <v>20</v>
      </c>
      <c r="D942" t="s">
        <v>16</v>
      </c>
      <c r="E942">
        <v>480</v>
      </c>
      <c r="F942">
        <v>122</v>
      </c>
      <c r="G942">
        <v>1584</v>
      </c>
      <c r="H942">
        <v>1533</v>
      </c>
      <c r="I942">
        <v>51</v>
      </c>
      <c r="J942">
        <v>12</v>
      </c>
      <c r="K942">
        <v>358</v>
      </c>
      <c r="L942">
        <v>0.74583333333333335</v>
      </c>
      <c r="M942">
        <v>0.88491620111731839</v>
      </c>
      <c r="N942">
        <v>0.96780303030303028</v>
      </c>
      <c r="O942">
        <v>0.63875000000000004</v>
      </c>
    </row>
    <row r="943" spans="1:15" x14ac:dyDescent="0.3">
      <c r="A943">
        <v>942</v>
      </c>
      <c r="B943" s="1">
        <v>45736</v>
      </c>
      <c r="C943" t="s">
        <v>20</v>
      </c>
      <c r="D943" t="s">
        <v>17</v>
      </c>
      <c r="E943">
        <v>480</v>
      </c>
      <c r="F943">
        <v>15</v>
      </c>
      <c r="G943">
        <v>1998</v>
      </c>
      <c r="H943">
        <v>1900</v>
      </c>
      <c r="I943">
        <v>98</v>
      </c>
      <c r="J943">
        <v>12.6</v>
      </c>
      <c r="K943">
        <v>465</v>
      </c>
      <c r="L943">
        <v>0.96875</v>
      </c>
      <c r="M943">
        <v>0.90232258064516124</v>
      </c>
      <c r="N943">
        <v>0.95095095095095095</v>
      </c>
      <c r="O943">
        <v>0.83124999999999993</v>
      </c>
    </row>
    <row r="944" spans="1:15" x14ac:dyDescent="0.3">
      <c r="A944">
        <v>943</v>
      </c>
      <c r="B944" s="1">
        <v>45736</v>
      </c>
      <c r="C944" t="s">
        <v>20</v>
      </c>
      <c r="D944" t="s">
        <v>18</v>
      </c>
      <c r="E944">
        <v>480</v>
      </c>
      <c r="F944">
        <v>33</v>
      </c>
      <c r="G944">
        <v>1619</v>
      </c>
      <c r="H944">
        <v>1564</v>
      </c>
      <c r="I944">
        <v>55</v>
      </c>
      <c r="J944">
        <v>13.2</v>
      </c>
      <c r="K944">
        <v>447</v>
      </c>
      <c r="L944">
        <v>0.93125000000000002</v>
      </c>
      <c r="M944">
        <v>0.79682326621923938</v>
      </c>
      <c r="N944">
        <v>0.96602841260037065</v>
      </c>
      <c r="O944">
        <v>0.71683333333333343</v>
      </c>
    </row>
    <row r="945" spans="1:15" x14ac:dyDescent="0.3">
      <c r="A945">
        <v>944</v>
      </c>
      <c r="B945" s="1">
        <v>45736</v>
      </c>
      <c r="C945" t="s">
        <v>20</v>
      </c>
      <c r="D945" t="s">
        <v>19</v>
      </c>
      <c r="E945">
        <v>480</v>
      </c>
      <c r="F945">
        <v>70</v>
      </c>
      <c r="G945">
        <v>1723</v>
      </c>
      <c r="H945">
        <v>1661</v>
      </c>
      <c r="I945">
        <v>62</v>
      </c>
      <c r="J945">
        <v>13.8</v>
      </c>
      <c r="K945">
        <v>410</v>
      </c>
      <c r="L945">
        <v>0.85416666666666663</v>
      </c>
      <c r="M945">
        <v>0.96656097560975618</v>
      </c>
      <c r="N945">
        <v>0.96401625072547881</v>
      </c>
      <c r="O945">
        <v>0.79589583333333336</v>
      </c>
    </row>
    <row r="946" spans="1:15" x14ac:dyDescent="0.3">
      <c r="A946">
        <v>945</v>
      </c>
      <c r="B946" s="1">
        <v>45736</v>
      </c>
      <c r="C946" t="s">
        <v>21</v>
      </c>
      <c r="D946" t="s">
        <v>16</v>
      </c>
      <c r="E946">
        <v>480</v>
      </c>
      <c r="F946">
        <v>10</v>
      </c>
      <c r="G946">
        <v>1861</v>
      </c>
      <c r="H946">
        <v>1809</v>
      </c>
      <c r="I946">
        <v>52</v>
      </c>
      <c r="J946">
        <v>12</v>
      </c>
      <c r="K946">
        <v>470</v>
      </c>
      <c r="L946">
        <v>0.97916666666666663</v>
      </c>
      <c r="M946">
        <v>0.79191489361702128</v>
      </c>
      <c r="N946">
        <v>0.97205803331542184</v>
      </c>
      <c r="O946">
        <v>0.75375000000000003</v>
      </c>
    </row>
    <row r="947" spans="1:15" x14ac:dyDescent="0.3">
      <c r="A947">
        <v>946</v>
      </c>
      <c r="B947" s="1">
        <v>45736</v>
      </c>
      <c r="C947" t="s">
        <v>21</v>
      </c>
      <c r="D947" t="s">
        <v>17</v>
      </c>
      <c r="E947">
        <v>480</v>
      </c>
      <c r="F947">
        <v>25</v>
      </c>
      <c r="G947">
        <v>1902</v>
      </c>
      <c r="H947">
        <v>1813</v>
      </c>
      <c r="I947">
        <v>89</v>
      </c>
      <c r="J947">
        <v>12.6</v>
      </c>
      <c r="K947">
        <v>455</v>
      </c>
      <c r="L947">
        <v>0.94791666666666663</v>
      </c>
      <c r="M947">
        <v>0.87784615384615383</v>
      </c>
      <c r="N947">
        <v>0.95320715036803361</v>
      </c>
      <c r="O947">
        <v>0.79318749999999993</v>
      </c>
    </row>
    <row r="948" spans="1:15" x14ac:dyDescent="0.3">
      <c r="A948">
        <v>947</v>
      </c>
      <c r="B948" s="1">
        <v>45736</v>
      </c>
      <c r="C948" t="s">
        <v>21</v>
      </c>
      <c r="D948" t="s">
        <v>18</v>
      </c>
      <c r="E948">
        <v>480</v>
      </c>
      <c r="F948">
        <v>67</v>
      </c>
      <c r="G948">
        <v>1675</v>
      </c>
      <c r="H948">
        <v>1633</v>
      </c>
      <c r="I948">
        <v>42</v>
      </c>
      <c r="J948">
        <v>13.2</v>
      </c>
      <c r="K948">
        <v>413</v>
      </c>
      <c r="L948">
        <v>0.86041666666666672</v>
      </c>
      <c r="M948">
        <v>0.89225181598062953</v>
      </c>
      <c r="N948">
        <v>0.97492537313432837</v>
      </c>
      <c r="O948">
        <v>0.74845833333333334</v>
      </c>
    </row>
    <row r="949" spans="1:15" x14ac:dyDescent="0.3">
      <c r="A949">
        <v>948</v>
      </c>
      <c r="B949" s="1">
        <v>45736</v>
      </c>
      <c r="C949" t="s">
        <v>21</v>
      </c>
      <c r="D949" t="s">
        <v>19</v>
      </c>
      <c r="E949">
        <v>480</v>
      </c>
      <c r="F949">
        <v>0</v>
      </c>
      <c r="G949">
        <v>1608</v>
      </c>
      <c r="H949">
        <v>1518</v>
      </c>
      <c r="I949">
        <v>90</v>
      </c>
      <c r="J949">
        <v>13.8</v>
      </c>
      <c r="K949">
        <v>480</v>
      </c>
      <c r="L949">
        <v>1</v>
      </c>
      <c r="M949">
        <v>0.77050000000000007</v>
      </c>
      <c r="N949">
        <v>0.94402985074626866</v>
      </c>
      <c r="O949">
        <v>0.7273750000000001</v>
      </c>
    </row>
    <row r="950" spans="1:15" x14ac:dyDescent="0.3">
      <c r="A950">
        <v>949</v>
      </c>
      <c r="B950" s="1">
        <v>45737</v>
      </c>
      <c r="C950" t="s">
        <v>15</v>
      </c>
      <c r="D950" t="s">
        <v>16</v>
      </c>
      <c r="E950">
        <v>480</v>
      </c>
      <c r="F950">
        <v>17</v>
      </c>
      <c r="G950">
        <v>2181</v>
      </c>
      <c r="H950">
        <v>2155</v>
      </c>
      <c r="I950">
        <v>26</v>
      </c>
      <c r="J950">
        <v>12</v>
      </c>
      <c r="K950">
        <v>463</v>
      </c>
      <c r="L950">
        <v>0.96458333333333335</v>
      </c>
      <c r="M950">
        <v>0.94211663066954643</v>
      </c>
      <c r="N950">
        <v>0.98807886290692348</v>
      </c>
      <c r="O950">
        <v>0.89791666666666681</v>
      </c>
    </row>
    <row r="951" spans="1:15" x14ac:dyDescent="0.3">
      <c r="A951">
        <v>950</v>
      </c>
      <c r="B951" s="1">
        <v>45737</v>
      </c>
      <c r="C951" t="s">
        <v>15</v>
      </c>
      <c r="D951" t="s">
        <v>17</v>
      </c>
      <c r="E951">
        <v>480</v>
      </c>
      <c r="F951">
        <v>10</v>
      </c>
      <c r="G951">
        <v>2172</v>
      </c>
      <c r="H951">
        <v>2084</v>
      </c>
      <c r="I951">
        <v>88</v>
      </c>
      <c r="J951">
        <v>12.6</v>
      </c>
      <c r="K951">
        <v>470</v>
      </c>
      <c r="L951">
        <v>0.97916666666666663</v>
      </c>
      <c r="M951">
        <v>0.97046808510638305</v>
      </c>
      <c r="N951">
        <v>0.95948434622467771</v>
      </c>
      <c r="O951">
        <v>0.91175000000000006</v>
      </c>
    </row>
    <row r="952" spans="1:15" x14ac:dyDescent="0.3">
      <c r="A952">
        <v>951</v>
      </c>
      <c r="B952" s="1">
        <v>45737</v>
      </c>
      <c r="C952" t="s">
        <v>15</v>
      </c>
      <c r="D952" t="s">
        <v>18</v>
      </c>
      <c r="E952">
        <v>480</v>
      </c>
      <c r="F952">
        <v>12</v>
      </c>
      <c r="G952">
        <v>2026</v>
      </c>
      <c r="H952">
        <v>1964</v>
      </c>
      <c r="I952">
        <v>62</v>
      </c>
      <c r="J952">
        <v>13.2</v>
      </c>
      <c r="K952">
        <v>468</v>
      </c>
      <c r="L952">
        <v>0.97499999999999998</v>
      </c>
      <c r="M952">
        <v>0.9523931623931623</v>
      </c>
      <c r="N952">
        <v>0.96939782823297138</v>
      </c>
      <c r="O952">
        <v>0.90016666666666656</v>
      </c>
    </row>
    <row r="953" spans="1:15" x14ac:dyDescent="0.3">
      <c r="A953">
        <v>952</v>
      </c>
      <c r="B953" s="1">
        <v>45737</v>
      </c>
      <c r="C953" t="s">
        <v>15</v>
      </c>
      <c r="D953" t="s">
        <v>19</v>
      </c>
      <c r="E953">
        <v>480</v>
      </c>
      <c r="F953">
        <v>77</v>
      </c>
      <c r="G953">
        <v>1679</v>
      </c>
      <c r="H953">
        <v>1652</v>
      </c>
      <c r="I953">
        <v>27</v>
      </c>
      <c r="J953">
        <v>13.8</v>
      </c>
      <c r="K953">
        <v>403</v>
      </c>
      <c r="L953">
        <v>0.83958333333333335</v>
      </c>
      <c r="M953">
        <v>0.95823821339950377</v>
      </c>
      <c r="N953">
        <v>0.98391899940440741</v>
      </c>
      <c r="O953">
        <v>0.79158333333333342</v>
      </c>
    </row>
    <row r="954" spans="1:15" x14ac:dyDescent="0.3">
      <c r="A954">
        <v>953</v>
      </c>
      <c r="B954" s="1">
        <v>45737</v>
      </c>
      <c r="C954" t="s">
        <v>20</v>
      </c>
      <c r="D954" t="s">
        <v>16</v>
      </c>
      <c r="E954">
        <v>480</v>
      </c>
      <c r="F954">
        <v>22</v>
      </c>
      <c r="G954">
        <v>2215</v>
      </c>
      <c r="H954">
        <v>2162</v>
      </c>
      <c r="I954">
        <v>53</v>
      </c>
      <c r="J954">
        <v>12</v>
      </c>
      <c r="K954">
        <v>458</v>
      </c>
      <c r="L954">
        <v>0.95416666666666672</v>
      </c>
      <c r="M954">
        <v>0.96724890829694321</v>
      </c>
      <c r="N954">
        <v>0.97607223476297966</v>
      </c>
      <c r="O954">
        <v>0.90083333333333337</v>
      </c>
    </row>
    <row r="955" spans="1:15" x14ac:dyDescent="0.3">
      <c r="A955">
        <v>954</v>
      </c>
      <c r="B955" s="1">
        <v>45737</v>
      </c>
      <c r="C955" t="s">
        <v>20</v>
      </c>
      <c r="D955" t="s">
        <v>17</v>
      </c>
      <c r="E955">
        <v>480</v>
      </c>
      <c r="F955">
        <v>50</v>
      </c>
      <c r="G955">
        <v>1850</v>
      </c>
      <c r="H955">
        <v>1820</v>
      </c>
      <c r="I955">
        <v>30</v>
      </c>
      <c r="J955">
        <v>12.6</v>
      </c>
      <c r="K955">
        <v>430</v>
      </c>
      <c r="L955">
        <v>0.89583333333333337</v>
      </c>
      <c r="M955">
        <v>0.90348837209302324</v>
      </c>
      <c r="N955">
        <v>0.98378378378378384</v>
      </c>
      <c r="O955">
        <v>0.79625000000000012</v>
      </c>
    </row>
    <row r="956" spans="1:15" x14ac:dyDescent="0.3">
      <c r="A956">
        <v>955</v>
      </c>
      <c r="B956" s="1">
        <v>45737</v>
      </c>
      <c r="C956" t="s">
        <v>20</v>
      </c>
      <c r="D956" t="s">
        <v>18</v>
      </c>
      <c r="E956">
        <v>480</v>
      </c>
      <c r="F956">
        <v>5</v>
      </c>
      <c r="G956">
        <v>2082</v>
      </c>
      <c r="H956">
        <v>1987</v>
      </c>
      <c r="I956">
        <v>95</v>
      </c>
      <c r="J956">
        <v>13.2</v>
      </c>
      <c r="K956">
        <v>475</v>
      </c>
      <c r="L956">
        <v>0.98958333333333337</v>
      </c>
      <c r="M956">
        <v>0.9642947368421052</v>
      </c>
      <c r="N956">
        <v>0.95437079731027863</v>
      </c>
      <c r="O956">
        <v>0.91070833333333334</v>
      </c>
    </row>
    <row r="957" spans="1:15" x14ac:dyDescent="0.3">
      <c r="A957">
        <v>956</v>
      </c>
      <c r="B957" s="1">
        <v>45737</v>
      </c>
      <c r="C957" t="s">
        <v>20</v>
      </c>
      <c r="D957" t="s">
        <v>19</v>
      </c>
      <c r="E957">
        <v>480</v>
      </c>
      <c r="F957">
        <v>19</v>
      </c>
      <c r="G957">
        <v>1858</v>
      </c>
      <c r="H957">
        <v>1830</v>
      </c>
      <c r="I957">
        <v>28</v>
      </c>
      <c r="J957">
        <v>13.8</v>
      </c>
      <c r="K957">
        <v>461</v>
      </c>
      <c r="L957">
        <v>0.9604166666666667</v>
      </c>
      <c r="M957">
        <v>0.92698481561822133</v>
      </c>
      <c r="N957">
        <v>0.98493003229278797</v>
      </c>
      <c r="O957">
        <v>0.87687500000000007</v>
      </c>
    </row>
    <row r="958" spans="1:15" x14ac:dyDescent="0.3">
      <c r="A958">
        <v>957</v>
      </c>
      <c r="B958" s="1">
        <v>45737</v>
      </c>
      <c r="C958" t="s">
        <v>21</v>
      </c>
      <c r="D958" t="s">
        <v>16</v>
      </c>
      <c r="E958">
        <v>480</v>
      </c>
      <c r="F958">
        <v>66</v>
      </c>
      <c r="G958">
        <v>1852</v>
      </c>
      <c r="H958">
        <v>1769</v>
      </c>
      <c r="I958">
        <v>83</v>
      </c>
      <c r="J958">
        <v>12</v>
      </c>
      <c r="K958">
        <v>414</v>
      </c>
      <c r="L958">
        <v>0.86250000000000004</v>
      </c>
      <c r="M958">
        <v>0.89468599033816421</v>
      </c>
      <c r="N958">
        <v>0.95518358531317493</v>
      </c>
      <c r="O958">
        <v>0.73708333333333331</v>
      </c>
    </row>
    <row r="959" spans="1:15" x14ac:dyDescent="0.3">
      <c r="A959">
        <v>958</v>
      </c>
      <c r="B959" s="1">
        <v>45737</v>
      </c>
      <c r="C959" t="s">
        <v>21</v>
      </c>
      <c r="D959" t="s">
        <v>17</v>
      </c>
      <c r="E959">
        <v>480</v>
      </c>
      <c r="F959">
        <v>15</v>
      </c>
      <c r="G959">
        <v>1794</v>
      </c>
      <c r="H959">
        <v>1755</v>
      </c>
      <c r="I959">
        <v>39</v>
      </c>
      <c r="J959">
        <v>12.6</v>
      </c>
      <c r="K959">
        <v>465</v>
      </c>
      <c r="L959">
        <v>0.96875</v>
      </c>
      <c r="M959">
        <v>0.81019354838709667</v>
      </c>
      <c r="N959">
        <v>0.97826086956521741</v>
      </c>
      <c r="O959">
        <v>0.7678124999999999</v>
      </c>
    </row>
    <row r="960" spans="1:15" x14ac:dyDescent="0.3">
      <c r="A960">
        <v>959</v>
      </c>
      <c r="B960" s="1">
        <v>45737</v>
      </c>
      <c r="C960" t="s">
        <v>21</v>
      </c>
      <c r="D960" t="s">
        <v>18</v>
      </c>
      <c r="E960">
        <v>480</v>
      </c>
      <c r="F960">
        <v>100</v>
      </c>
      <c r="G960">
        <v>1601</v>
      </c>
      <c r="H960">
        <v>1569</v>
      </c>
      <c r="I960">
        <v>32</v>
      </c>
      <c r="J960">
        <v>13.2</v>
      </c>
      <c r="K960">
        <v>380</v>
      </c>
      <c r="L960">
        <v>0.79166666666666663</v>
      </c>
      <c r="M960">
        <v>0.9268947368421051</v>
      </c>
      <c r="N960">
        <v>0.98001249219237974</v>
      </c>
      <c r="O960">
        <v>0.71912499999999979</v>
      </c>
    </row>
    <row r="961" spans="1:15" x14ac:dyDescent="0.3">
      <c r="A961">
        <v>960</v>
      </c>
      <c r="B961" s="1">
        <v>45737</v>
      </c>
      <c r="C961" t="s">
        <v>21</v>
      </c>
      <c r="D961" t="s">
        <v>19</v>
      </c>
      <c r="E961">
        <v>480</v>
      </c>
      <c r="F961">
        <v>30</v>
      </c>
      <c r="G961">
        <v>1814</v>
      </c>
      <c r="H961">
        <v>1776</v>
      </c>
      <c r="I961">
        <v>38</v>
      </c>
      <c r="J961">
        <v>13.8</v>
      </c>
      <c r="K961">
        <v>450</v>
      </c>
      <c r="L961">
        <v>0.9375</v>
      </c>
      <c r="M961">
        <v>0.92715555555555562</v>
      </c>
      <c r="N961">
        <v>0.97905181918412343</v>
      </c>
      <c r="O961">
        <v>0.85099999999999998</v>
      </c>
    </row>
    <row r="962" spans="1:15" x14ac:dyDescent="0.3">
      <c r="A962">
        <v>961</v>
      </c>
      <c r="B962" s="1">
        <v>45738</v>
      </c>
      <c r="C962" t="s">
        <v>15</v>
      </c>
      <c r="D962" t="s">
        <v>16</v>
      </c>
      <c r="E962">
        <v>480</v>
      </c>
      <c r="F962">
        <v>31</v>
      </c>
      <c r="G962">
        <v>1944</v>
      </c>
      <c r="H962">
        <v>1908</v>
      </c>
      <c r="I962">
        <v>36</v>
      </c>
      <c r="J962">
        <v>12</v>
      </c>
      <c r="K962">
        <v>449</v>
      </c>
      <c r="L962">
        <v>0.93541666666666667</v>
      </c>
      <c r="M962">
        <v>0.86592427616926504</v>
      </c>
      <c r="N962">
        <v>0.98148148148148151</v>
      </c>
      <c r="O962">
        <v>0.79500000000000004</v>
      </c>
    </row>
    <row r="963" spans="1:15" x14ac:dyDescent="0.3">
      <c r="A963">
        <v>962</v>
      </c>
      <c r="B963" s="1">
        <v>45738</v>
      </c>
      <c r="C963" t="s">
        <v>15</v>
      </c>
      <c r="D963" t="s">
        <v>17</v>
      </c>
      <c r="E963">
        <v>480</v>
      </c>
      <c r="F963">
        <v>67</v>
      </c>
      <c r="G963">
        <v>1536</v>
      </c>
      <c r="H963">
        <v>1481</v>
      </c>
      <c r="I963">
        <v>55</v>
      </c>
      <c r="J963">
        <v>12.6</v>
      </c>
      <c r="K963">
        <v>413</v>
      </c>
      <c r="L963">
        <v>0.86041666666666672</v>
      </c>
      <c r="M963">
        <v>0.78101694915254227</v>
      </c>
      <c r="N963">
        <v>0.96419270833333337</v>
      </c>
      <c r="O963">
        <v>0.64793749999999994</v>
      </c>
    </row>
    <row r="964" spans="1:15" x14ac:dyDescent="0.3">
      <c r="A964">
        <v>963</v>
      </c>
      <c r="B964" s="1">
        <v>45738</v>
      </c>
      <c r="C964" t="s">
        <v>15</v>
      </c>
      <c r="D964" t="s">
        <v>18</v>
      </c>
      <c r="E964">
        <v>480</v>
      </c>
      <c r="F964">
        <v>0</v>
      </c>
      <c r="G964">
        <v>2105</v>
      </c>
      <c r="H964">
        <v>2065</v>
      </c>
      <c r="I964">
        <v>40</v>
      </c>
      <c r="J964">
        <v>13.2</v>
      </c>
      <c r="K964">
        <v>480</v>
      </c>
      <c r="L964">
        <v>1</v>
      </c>
      <c r="M964">
        <v>0.96479166666666671</v>
      </c>
      <c r="N964">
        <v>0.98099762470308793</v>
      </c>
      <c r="O964">
        <v>0.9464583333333334</v>
      </c>
    </row>
    <row r="965" spans="1:15" x14ac:dyDescent="0.3">
      <c r="A965">
        <v>964</v>
      </c>
      <c r="B965" s="1">
        <v>45738</v>
      </c>
      <c r="C965" t="s">
        <v>15</v>
      </c>
      <c r="D965" t="s">
        <v>19</v>
      </c>
      <c r="E965">
        <v>480</v>
      </c>
      <c r="F965">
        <v>31</v>
      </c>
      <c r="G965">
        <v>1669</v>
      </c>
      <c r="H965">
        <v>1639</v>
      </c>
      <c r="I965">
        <v>30</v>
      </c>
      <c r="J965">
        <v>13.8</v>
      </c>
      <c r="K965">
        <v>449</v>
      </c>
      <c r="L965">
        <v>0.93541666666666667</v>
      </c>
      <c r="M965">
        <v>0.85494432071269488</v>
      </c>
      <c r="N965">
        <v>0.982025164769323</v>
      </c>
      <c r="O965">
        <v>0.7853541666666668</v>
      </c>
    </row>
    <row r="966" spans="1:15" x14ac:dyDescent="0.3">
      <c r="A966">
        <v>965</v>
      </c>
      <c r="B966" s="1">
        <v>45738</v>
      </c>
      <c r="C966" t="s">
        <v>20</v>
      </c>
      <c r="D966" t="s">
        <v>16</v>
      </c>
      <c r="E966">
        <v>480</v>
      </c>
      <c r="F966">
        <v>42</v>
      </c>
      <c r="G966">
        <v>1927</v>
      </c>
      <c r="H966">
        <v>1839</v>
      </c>
      <c r="I966">
        <v>88</v>
      </c>
      <c r="J966">
        <v>12</v>
      </c>
      <c r="K966">
        <v>438</v>
      </c>
      <c r="L966">
        <v>0.91249999999999998</v>
      </c>
      <c r="M966">
        <v>0.87990867579908671</v>
      </c>
      <c r="N966">
        <v>0.95433316035288007</v>
      </c>
      <c r="O966">
        <v>0.76624999999999988</v>
      </c>
    </row>
    <row r="967" spans="1:15" x14ac:dyDescent="0.3">
      <c r="A967">
        <v>966</v>
      </c>
      <c r="B967" s="1">
        <v>45738</v>
      </c>
      <c r="C967" t="s">
        <v>20</v>
      </c>
      <c r="D967" t="s">
        <v>17</v>
      </c>
      <c r="E967">
        <v>480</v>
      </c>
      <c r="F967">
        <v>110</v>
      </c>
      <c r="G967">
        <v>1705</v>
      </c>
      <c r="H967">
        <v>1652</v>
      </c>
      <c r="I967">
        <v>53</v>
      </c>
      <c r="J967">
        <v>12.6</v>
      </c>
      <c r="K967">
        <v>370</v>
      </c>
      <c r="L967">
        <v>0.77083333333333337</v>
      </c>
      <c r="M967">
        <v>0.96770270270270276</v>
      </c>
      <c r="N967">
        <v>0.96891495601173017</v>
      </c>
      <c r="O967">
        <v>0.72275</v>
      </c>
    </row>
    <row r="968" spans="1:15" x14ac:dyDescent="0.3">
      <c r="A968">
        <v>967</v>
      </c>
      <c r="B968" s="1">
        <v>45738</v>
      </c>
      <c r="C968" t="s">
        <v>20</v>
      </c>
      <c r="D968" t="s">
        <v>18</v>
      </c>
      <c r="E968">
        <v>480</v>
      </c>
      <c r="F968">
        <v>0</v>
      </c>
      <c r="G968">
        <v>1858</v>
      </c>
      <c r="H968">
        <v>1836</v>
      </c>
      <c r="I968">
        <v>22</v>
      </c>
      <c r="J968">
        <v>13.2</v>
      </c>
      <c r="K968">
        <v>480</v>
      </c>
      <c r="L968">
        <v>1</v>
      </c>
      <c r="M968">
        <v>0.85158333333333325</v>
      </c>
      <c r="N968">
        <v>0.98815931108719057</v>
      </c>
      <c r="O968">
        <v>0.84149999999999991</v>
      </c>
    </row>
    <row r="969" spans="1:15" x14ac:dyDescent="0.3">
      <c r="A969">
        <v>968</v>
      </c>
      <c r="B969" s="1">
        <v>45738</v>
      </c>
      <c r="C969" t="s">
        <v>20</v>
      </c>
      <c r="D969" t="s">
        <v>19</v>
      </c>
      <c r="E969">
        <v>480</v>
      </c>
      <c r="F969">
        <v>18</v>
      </c>
      <c r="G969">
        <v>1907</v>
      </c>
      <c r="H969">
        <v>1825</v>
      </c>
      <c r="I969">
        <v>82</v>
      </c>
      <c r="J969">
        <v>13.8</v>
      </c>
      <c r="K969">
        <v>462</v>
      </c>
      <c r="L969">
        <v>0.96250000000000002</v>
      </c>
      <c r="M969">
        <v>0.94937229437229442</v>
      </c>
      <c r="N969">
        <v>0.95700052438384897</v>
      </c>
      <c r="O969">
        <v>0.8744791666666667</v>
      </c>
    </row>
    <row r="970" spans="1:15" x14ac:dyDescent="0.3">
      <c r="A970">
        <v>969</v>
      </c>
      <c r="B970" s="1">
        <v>45738</v>
      </c>
      <c r="C970" t="s">
        <v>21</v>
      </c>
      <c r="D970" t="s">
        <v>16</v>
      </c>
      <c r="E970">
        <v>480</v>
      </c>
      <c r="F970">
        <v>60</v>
      </c>
      <c r="G970">
        <v>1967</v>
      </c>
      <c r="H970">
        <v>1864</v>
      </c>
      <c r="I970">
        <v>103</v>
      </c>
      <c r="J970">
        <v>12</v>
      </c>
      <c r="K970">
        <v>420</v>
      </c>
      <c r="L970">
        <v>0.875</v>
      </c>
      <c r="M970">
        <v>0.93666666666666665</v>
      </c>
      <c r="N970">
        <v>0.94763599389933906</v>
      </c>
      <c r="O970">
        <v>0.77666666666666662</v>
      </c>
    </row>
    <row r="971" spans="1:15" x14ac:dyDescent="0.3">
      <c r="A971">
        <v>970</v>
      </c>
      <c r="B971" s="1">
        <v>45738</v>
      </c>
      <c r="C971" t="s">
        <v>21</v>
      </c>
      <c r="D971" t="s">
        <v>17</v>
      </c>
      <c r="E971">
        <v>480</v>
      </c>
      <c r="F971">
        <v>41</v>
      </c>
      <c r="G971">
        <v>1914</v>
      </c>
      <c r="H971">
        <v>1853</v>
      </c>
      <c r="I971">
        <v>61</v>
      </c>
      <c r="J971">
        <v>12.6</v>
      </c>
      <c r="K971">
        <v>439</v>
      </c>
      <c r="L971">
        <v>0.9145833333333333</v>
      </c>
      <c r="M971">
        <v>0.9155808656036446</v>
      </c>
      <c r="N971">
        <v>0.9681295715778474</v>
      </c>
      <c r="O971">
        <v>0.81068750000000001</v>
      </c>
    </row>
    <row r="972" spans="1:15" x14ac:dyDescent="0.3">
      <c r="A972">
        <v>971</v>
      </c>
      <c r="B972" s="1">
        <v>45738</v>
      </c>
      <c r="C972" t="s">
        <v>21</v>
      </c>
      <c r="D972" t="s">
        <v>18</v>
      </c>
      <c r="E972">
        <v>480</v>
      </c>
      <c r="F972">
        <v>5</v>
      </c>
      <c r="G972">
        <v>2019</v>
      </c>
      <c r="H972">
        <v>1991</v>
      </c>
      <c r="I972">
        <v>28</v>
      </c>
      <c r="J972">
        <v>13.2</v>
      </c>
      <c r="K972">
        <v>475</v>
      </c>
      <c r="L972">
        <v>0.98958333333333337</v>
      </c>
      <c r="M972">
        <v>0.93511578947368423</v>
      </c>
      <c r="N972">
        <v>0.98613174839029227</v>
      </c>
      <c r="O972">
        <v>0.91254166666666681</v>
      </c>
    </row>
    <row r="973" spans="1:15" x14ac:dyDescent="0.3">
      <c r="A973">
        <v>972</v>
      </c>
      <c r="B973" s="1">
        <v>45738</v>
      </c>
      <c r="C973" t="s">
        <v>21</v>
      </c>
      <c r="D973" t="s">
        <v>19</v>
      </c>
      <c r="E973">
        <v>480</v>
      </c>
      <c r="F973">
        <v>0</v>
      </c>
      <c r="G973">
        <v>1750</v>
      </c>
      <c r="H973">
        <v>1691</v>
      </c>
      <c r="I973">
        <v>59</v>
      </c>
      <c r="J973">
        <v>13.8</v>
      </c>
      <c r="K973">
        <v>480</v>
      </c>
      <c r="L973">
        <v>1</v>
      </c>
      <c r="M973">
        <v>0.83854166666666663</v>
      </c>
      <c r="N973">
        <v>0.9662857142857143</v>
      </c>
      <c r="O973">
        <v>0.81027083333333327</v>
      </c>
    </row>
    <row r="974" spans="1:15" x14ac:dyDescent="0.3">
      <c r="A974">
        <v>973</v>
      </c>
      <c r="B974" s="1">
        <v>45739</v>
      </c>
      <c r="C974" t="s">
        <v>15</v>
      </c>
      <c r="D974" t="s">
        <v>16</v>
      </c>
      <c r="E974">
        <v>480</v>
      </c>
      <c r="F974">
        <v>61</v>
      </c>
      <c r="G974">
        <v>1582</v>
      </c>
      <c r="H974">
        <v>1533</v>
      </c>
      <c r="I974">
        <v>49</v>
      </c>
      <c r="J974">
        <v>12</v>
      </c>
      <c r="K974">
        <v>419</v>
      </c>
      <c r="L974">
        <v>0.87291666666666667</v>
      </c>
      <c r="M974">
        <v>0.75513126491646776</v>
      </c>
      <c r="N974">
        <v>0.96902654867256632</v>
      </c>
      <c r="O974">
        <v>0.63874999999999993</v>
      </c>
    </row>
    <row r="975" spans="1:15" x14ac:dyDescent="0.3">
      <c r="A975">
        <v>974</v>
      </c>
      <c r="B975" s="1">
        <v>45739</v>
      </c>
      <c r="C975" t="s">
        <v>15</v>
      </c>
      <c r="D975" t="s">
        <v>17</v>
      </c>
      <c r="E975">
        <v>480</v>
      </c>
      <c r="F975">
        <v>18</v>
      </c>
      <c r="G975">
        <v>1721</v>
      </c>
      <c r="H975">
        <v>1651</v>
      </c>
      <c r="I975">
        <v>70</v>
      </c>
      <c r="J975">
        <v>12.6</v>
      </c>
      <c r="K975">
        <v>462</v>
      </c>
      <c r="L975">
        <v>0.96250000000000002</v>
      </c>
      <c r="M975">
        <v>0.78227272727272723</v>
      </c>
      <c r="N975">
        <v>0.95932597327135383</v>
      </c>
      <c r="O975">
        <v>0.72231249999999991</v>
      </c>
    </row>
    <row r="976" spans="1:15" x14ac:dyDescent="0.3">
      <c r="A976">
        <v>975</v>
      </c>
      <c r="B976" s="1">
        <v>45739</v>
      </c>
      <c r="C976" t="s">
        <v>15</v>
      </c>
      <c r="D976" t="s">
        <v>18</v>
      </c>
      <c r="E976">
        <v>480</v>
      </c>
      <c r="F976">
        <v>0</v>
      </c>
      <c r="G976">
        <v>1889</v>
      </c>
      <c r="H976">
        <v>1819</v>
      </c>
      <c r="I976">
        <v>70</v>
      </c>
      <c r="J976">
        <v>13.2</v>
      </c>
      <c r="K976">
        <v>480</v>
      </c>
      <c r="L976">
        <v>1</v>
      </c>
      <c r="M976">
        <v>0.86579166666666663</v>
      </c>
      <c r="N976">
        <v>0.96294335627316041</v>
      </c>
      <c r="O976">
        <v>0.83370833333333327</v>
      </c>
    </row>
    <row r="977" spans="1:15" x14ac:dyDescent="0.3">
      <c r="A977">
        <v>976</v>
      </c>
      <c r="B977" s="1">
        <v>45739</v>
      </c>
      <c r="C977" t="s">
        <v>15</v>
      </c>
      <c r="D977" t="s">
        <v>19</v>
      </c>
      <c r="E977">
        <v>480</v>
      </c>
      <c r="F977">
        <v>20</v>
      </c>
      <c r="G977">
        <v>1724</v>
      </c>
      <c r="H977">
        <v>1676</v>
      </c>
      <c r="I977">
        <v>48</v>
      </c>
      <c r="J977">
        <v>13.8</v>
      </c>
      <c r="K977">
        <v>460</v>
      </c>
      <c r="L977">
        <v>0.95833333333333337</v>
      </c>
      <c r="M977">
        <v>0.86199999999999999</v>
      </c>
      <c r="N977">
        <v>0.97215777262180969</v>
      </c>
      <c r="O977">
        <v>0.80308333333333337</v>
      </c>
    </row>
    <row r="978" spans="1:15" x14ac:dyDescent="0.3">
      <c r="A978">
        <v>977</v>
      </c>
      <c r="B978" s="1">
        <v>45739</v>
      </c>
      <c r="C978" t="s">
        <v>20</v>
      </c>
      <c r="D978" t="s">
        <v>16</v>
      </c>
      <c r="E978">
        <v>480</v>
      </c>
      <c r="F978">
        <v>6</v>
      </c>
      <c r="G978">
        <v>2261</v>
      </c>
      <c r="H978">
        <v>2234</v>
      </c>
      <c r="I978">
        <v>27</v>
      </c>
      <c r="J978">
        <v>12</v>
      </c>
      <c r="K978">
        <v>474</v>
      </c>
      <c r="L978">
        <v>0.98750000000000004</v>
      </c>
      <c r="M978">
        <v>0.95400843881856545</v>
      </c>
      <c r="N978">
        <v>0.98805838124723577</v>
      </c>
      <c r="O978">
        <v>0.9308333333333334</v>
      </c>
    </row>
    <row r="979" spans="1:15" x14ac:dyDescent="0.3">
      <c r="A979">
        <v>978</v>
      </c>
      <c r="B979" s="1">
        <v>45739</v>
      </c>
      <c r="C979" t="s">
        <v>20</v>
      </c>
      <c r="D979" t="s">
        <v>17</v>
      </c>
      <c r="E979">
        <v>480</v>
      </c>
      <c r="F979">
        <v>165</v>
      </c>
      <c r="G979">
        <v>1466</v>
      </c>
      <c r="H979">
        <v>1449</v>
      </c>
      <c r="I979">
        <v>17</v>
      </c>
      <c r="J979">
        <v>12.6</v>
      </c>
      <c r="K979">
        <v>315</v>
      </c>
      <c r="L979">
        <v>0.65625</v>
      </c>
      <c r="M979">
        <v>0.97733333333333328</v>
      </c>
      <c r="N979">
        <v>0.98840381991814463</v>
      </c>
      <c r="O979">
        <v>0.63393749999999993</v>
      </c>
    </row>
    <row r="980" spans="1:15" x14ac:dyDescent="0.3">
      <c r="A980">
        <v>979</v>
      </c>
      <c r="B980" s="1">
        <v>45739</v>
      </c>
      <c r="C980" t="s">
        <v>20</v>
      </c>
      <c r="D980" t="s">
        <v>18</v>
      </c>
      <c r="E980">
        <v>480</v>
      </c>
      <c r="F980">
        <v>28</v>
      </c>
      <c r="G980">
        <v>1889</v>
      </c>
      <c r="H980">
        <v>1853</v>
      </c>
      <c r="I980">
        <v>36</v>
      </c>
      <c r="J980">
        <v>13.2</v>
      </c>
      <c r="K980">
        <v>452</v>
      </c>
      <c r="L980">
        <v>0.94166666666666665</v>
      </c>
      <c r="M980">
        <v>0.91942477876106188</v>
      </c>
      <c r="N980">
        <v>0.98094229751191109</v>
      </c>
      <c r="O980">
        <v>0.84929166666666667</v>
      </c>
    </row>
    <row r="981" spans="1:15" x14ac:dyDescent="0.3">
      <c r="A981">
        <v>980</v>
      </c>
      <c r="B981" s="1">
        <v>45739</v>
      </c>
      <c r="C981" t="s">
        <v>20</v>
      </c>
      <c r="D981" t="s">
        <v>19</v>
      </c>
      <c r="E981">
        <v>480</v>
      </c>
      <c r="F981">
        <v>71</v>
      </c>
      <c r="G981">
        <v>1545</v>
      </c>
      <c r="H981">
        <v>1503</v>
      </c>
      <c r="I981">
        <v>42</v>
      </c>
      <c r="J981">
        <v>13.8</v>
      </c>
      <c r="K981">
        <v>409</v>
      </c>
      <c r="L981">
        <v>0.8520833333333333</v>
      </c>
      <c r="M981">
        <v>0.86882640586797066</v>
      </c>
      <c r="N981">
        <v>0.97281553398058251</v>
      </c>
      <c r="O981">
        <v>0.72018749999999987</v>
      </c>
    </row>
    <row r="982" spans="1:15" x14ac:dyDescent="0.3">
      <c r="A982">
        <v>981</v>
      </c>
      <c r="B982" s="1">
        <v>45739</v>
      </c>
      <c r="C982" t="s">
        <v>21</v>
      </c>
      <c r="D982" t="s">
        <v>16</v>
      </c>
      <c r="E982">
        <v>480</v>
      </c>
      <c r="F982">
        <v>47</v>
      </c>
      <c r="G982">
        <v>1889</v>
      </c>
      <c r="H982">
        <v>1781</v>
      </c>
      <c r="I982">
        <v>108</v>
      </c>
      <c r="J982">
        <v>12</v>
      </c>
      <c r="K982">
        <v>433</v>
      </c>
      <c r="L982">
        <v>0.90208333333333335</v>
      </c>
      <c r="M982">
        <v>0.8725173210161663</v>
      </c>
      <c r="N982">
        <v>0.94282689253573315</v>
      </c>
      <c r="O982">
        <v>0.74208333333333332</v>
      </c>
    </row>
    <row r="983" spans="1:15" x14ac:dyDescent="0.3">
      <c r="A983">
        <v>982</v>
      </c>
      <c r="B983" s="1">
        <v>45739</v>
      </c>
      <c r="C983" t="s">
        <v>21</v>
      </c>
      <c r="D983" t="s">
        <v>17</v>
      </c>
      <c r="E983">
        <v>480</v>
      </c>
      <c r="F983">
        <v>18</v>
      </c>
      <c r="G983">
        <v>2007</v>
      </c>
      <c r="H983">
        <v>1893</v>
      </c>
      <c r="I983">
        <v>114</v>
      </c>
      <c r="J983">
        <v>12.6</v>
      </c>
      <c r="K983">
        <v>462</v>
      </c>
      <c r="L983">
        <v>0.96250000000000002</v>
      </c>
      <c r="M983">
        <v>0.91227272727272735</v>
      </c>
      <c r="N983">
        <v>0.94319880418535129</v>
      </c>
      <c r="O983">
        <v>0.82818750000000008</v>
      </c>
    </row>
    <row r="984" spans="1:15" x14ac:dyDescent="0.3">
      <c r="A984">
        <v>983</v>
      </c>
      <c r="B984" s="1">
        <v>45739</v>
      </c>
      <c r="C984" t="s">
        <v>21</v>
      </c>
      <c r="D984" t="s">
        <v>18</v>
      </c>
      <c r="E984">
        <v>480</v>
      </c>
      <c r="F984">
        <v>15</v>
      </c>
      <c r="G984">
        <v>1667</v>
      </c>
      <c r="H984">
        <v>1587</v>
      </c>
      <c r="I984">
        <v>80</v>
      </c>
      <c r="J984">
        <v>13.2</v>
      </c>
      <c r="K984">
        <v>465</v>
      </c>
      <c r="L984">
        <v>0.96875</v>
      </c>
      <c r="M984">
        <v>0.78868817204301067</v>
      </c>
      <c r="N984">
        <v>0.95200959808038388</v>
      </c>
      <c r="O984">
        <v>0.72737499999999988</v>
      </c>
    </row>
    <row r="985" spans="1:15" x14ac:dyDescent="0.3">
      <c r="A985">
        <v>984</v>
      </c>
      <c r="B985" s="1">
        <v>45739</v>
      </c>
      <c r="C985" t="s">
        <v>21</v>
      </c>
      <c r="D985" t="s">
        <v>19</v>
      </c>
      <c r="E985">
        <v>480</v>
      </c>
      <c r="F985">
        <v>45</v>
      </c>
      <c r="G985">
        <v>1788</v>
      </c>
      <c r="H985">
        <v>1728</v>
      </c>
      <c r="I985">
        <v>60</v>
      </c>
      <c r="J985">
        <v>13.8</v>
      </c>
      <c r="K985">
        <v>435</v>
      </c>
      <c r="L985">
        <v>0.90625</v>
      </c>
      <c r="M985">
        <v>0.94537931034482769</v>
      </c>
      <c r="N985">
        <v>0.96644295302013428</v>
      </c>
      <c r="O985">
        <v>0.82800000000000018</v>
      </c>
    </row>
    <row r="986" spans="1:15" x14ac:dyDescent="0.3">
      <c r="A986">
        <v>985</v>
      </c>
      <c r="B986" s="1">
        <v>45740</v>
      </c>
      <c r="C986" t="s">
        <v>15</v>
      </c>
      <c r="D986" t="s">
        <v>16</v>
      </c>
      <c r="E986">
        <v>480</v>
      </c>
      <c r="F986">
        <v>5</v>
      </c>
      <c r="G986">
        <v>2273</v>
      </c>
      <c r="H986">
        <v>2174</v>
      </c>
      <c r="I986">
        <v>99</v>
      </c>
      <c r="J986">
        <v>12</v>
      </c>
      <c r="K986">
        <v>475</v>
      </c>
      <c r="L986">
        <v>0.98958333333333337</v>
      </c>
      <c r="M986">
        <v>0.95705263157894738</v>
      </c>
      <c r="N986">
        <v>0.95644522657281128</v>
      </c>
      <c r="O986">
        <v>0.90583333333333338</v>
      </c>
    </row>
    <row r="987" spans="1:15" x14ac:dyDescent="0.3">
      <c r="A987">
        <v>986</v>
      </c>
      <c r="B987" s="1">
        <v>45740</v>
      </c>
      <c r="C987" t="s">
        <v>15</v>
      </c>
      <c r="D987" t="s">
        <v>17</v>
      </c>
      <c r="E987">
        <v>480</v>
      </c>
      <c r="F987">
        <v>5</v>
      </c>
      <c r="G987">
        <v>1737</v>
      </c>
      <c r="H987">
        <v>1674</v>
      </c>
      <c r="I987">
        <v>63</v>
      </c>
      <c r="J987">
        <v>12.6</v>
      </c>
      <c r="K987">
        <v>475</v>
      </c>
      <c r="L987">
        <v>0.98958333333333337</v>
      </c>
      <c r="M987">
        <v>0.76793684210526314</v>
      </c>
      <c r="N987">
        <v>0.96373056994818651</v>
      </c>
      <c r="O987">
        <v>0.732375</v>
      </c>
    </row>
    <row r="988" spans="1:15" x14ac:dyDescent="0.3">
      <c r="A988">
        <v>987</v>
      </c>
      <c r="B988" s="1">
        <v>45740</v>
      </c>
      <c r="C988" t="s">
        <v>15</v>
      </c>
      <c r="D988" t="s">
        <v>18</v>
      </c>
      <c r="E988">
        <v>480</v>
      </c>
      <c r="F988">
        <v>54</v>
      </c>
      <c r="G988">
        <v>1758</v>
      </c>
      <c r="H988">
        <v>1712</v>
      </c>
      <c r="I988">
        <v>46</v>
      </c>
      <c r="J988">
        <v>13.2</v>
      </c>
      <c r="K988">
        <v>426</v>
      </c>
      <c r="L988">
        <v>0.88749999999999996</v>
      </c>
      <c r="M988">
        <v>0.90788732394366189</v>
      </c>
      <c r="N988">
        <v>0.97383390216154719</v>
      </c>
      <c r="O988">
        <v>0.78466666666666651</v>
      </c>
    </row>
    <row r="989" spans="1:15" x14ac:dyDescent="0.3">
      <c r="A989">
        <v>988</v>
      </c>
      <c r="B989" s="1">
        <v>45740</v>
      </c>
      <c r="C989" t="s">
        <v>15</v>
      </c>
      <c r="D989" t="s">
        <v>19</v>
      </c>
      <c r="E989">
        <v>480</v>
      </c>
      <c r="F989">
        <v>0</v>
      </c>
      <c r="G989">
        <v>2033</v>
      </c>
      <c r="H989">
        <v>1984</v>
      </c>
      <c r="I989">
        <v>49</v>
      </c>
      <c r="J989">
        <v>13.8</v>
      </c>
      <c r="K989">
        <v>480</v>
      </c>
      <c r="L989">
        <v>1</v>
      </c>
      <c r="M989">
        <v>0.97414583333333338</v>
      </c>
      <c r="N989">
        <v>0.97589768814559763</v>
      </c>
      <c r="O989">
        <v>0.95066666666666666</v>
      </c>
    </row>
    <row r="990" spans="1:15" x14ac:dyDescent="0.3">
      <c r="A990">
        <v>989</v>
      </c>
      <c r="B990" s="1">
        <v>45740</v>
      </c>
      <c r="C990" t="s">
        <v>20</v>
      </c>
      <c r="D990" t="s">
        <v>16</v>
      </c>
      <c r="E990">
        <v>480</v>
      </c>
      <c r="F990">
        <v>16</v>
      </c>
      <c r="G990">
        <v>1826</v>
      </c>
      <c r="H990">
        <v>1727</v>
      </c>
      <c r="I990">
        <v>99</v>
      </c>
      <c r="J990">
        <v>12</v>
      </c>
      <c r="K990">
        <v>464</v>
      </c>
      <c r="L990">
        <v>0.96666666666666667</v>
      </c>
      <c r="M990">
        <v>0.78706896551724137</v>
      </c>
      <c r="N990">
        <v>0.94578313253012047</v>
      </c>
      <c r="O990">
        <v>0.71958333333333335</v>
      </c>
    </row>
    <row r="991" spans="1:15" x14ac:dyDescent="0.3">
      <c r="A991">
        <v>990</v>
      </c>
      <c r="B991" s="1">
        <v>45740</v>
      </c>
      <c r="C991" t="s">
        <v>20</v>
      </c>
      <c r="D991" t="s">
        <v>17</v>
      </c>
      <c r="E991">
        <v>480</v>
      </c>
      <c r="F991">
        <v>52</v>
      </c>
      <c r="G991">
        <v>1796</v>
      </c>
      <c r="H991">
        <v>1742</v>
      </c>
      <c r="I991">
        <v>54</v>
      </c>
      <c r="J991">
        <v>12.6</v>
      </c>
      <c r="K991">
        <v>428</v>
      </c>
      <c r="L991">
        <v>0.89166666666666672</v>
      </c>
      <c r="M991">
        <v>0.88121495327102795</v>
      </c>
      <c r="N991">
        <v>0.96993318485523383</v>
      </c>
      <c r="O991">
        <v>0.76212499999999994</v>
      </c>
    </row>
    <row r="992" spans="1:15" x14ac:dyDescent="0.3">
      <c r="A992">
        <v>991</v>
      </c>
      <c r="B992" s="1">
        <v>45740</v>
      </c>
      <c r="C992" t="s">
        <v>20</v>
      </c>
      <c r="D992" t="s">
        <v>18</v>
      </c>
      <c r="E992">
        <v>480</v>
      </c>
      <c r="F992">
        <v>105</v>
      </c>
      <c r="G992">
        <v>1347</v>
      </c>
      <c r="H992">
        <v>1294</v>
      </c>
      <c r="I992">
        <v>53</v>
      </c>
      <c r="J992">
        <v>13.2</v>
      </c>
      <c r="K992">
        <v>375</v>
      </c>
      <c r="L992">
        <v>0.78125</v>
      </c>
      <c r="M992">
        <v>0.79023999999999994</v>
      </c>
      <c r="N992">
        <v>0.9606533036377134</v>
      </c>
      <c r="O992">
        <v>0.5930833333333333</v>
      </c>
    </row>
    <row r="993" spans="1:15" x14ac:dyDescent="0.3">
      <c r="A993">
        <v>992</v>
      </c>
      <c r="B993" s="1">
        <v>45740</v>
      </c>
      <c r="C993" t="s">
        <v>20</v>
      </c>
      <c r="D993" t="s">
        <v>19</v>
      </c>
      <c r="E993">
        <v>480</v>
      </c>
      <c r="F993">
        <v>78</v>
      </c>
      <c r="G993">
        <v>1505</v>
      </c>
      <c r="H993">
        <v>1450</v>
      </c>
      <c r="I993">
        <v>55</v>
      </c>
      <c r="J993">
        <v>13.8</v>
      </c>
      <c r="K993">
        <v>402</v>
      </c>
      <c r="L993">
        <v>0.83750000000000002</v>
      </c>
      <c r="M993">
        <v>0.86106965174129357</v>
      </c>
      <c r="N993">
        <v>0.96345514950166111</v>
      </c>
      <c r="O993">
        <v>0.6947916666666667</v>
      </c>
    </row>
    <row r="994" spans="1:15" x14ac:dyDescent="0.3">
      <c r="A994">
        <v>993</v>
      </c>
      <c r="B994" s="1">
        <v>45740</v>
      </c>
      <c r="C994" t="s">
        <v>21</v>
      </c>
      <c r="D994" t="s">
        <v>16</v>
      </c>
      <c r="E994">
        <v>480</v>
      </c>
      <c r="F994">
        <v>56</v>
      </c>
      <c r="G994">
        <v>1685</v>
      </c>
      <c r="H994">
        <v>1611</v>
      </c>
      <c r="I994">
        <v>74</v>
      </c>
      <c r="J994">
        <v>12</v>
      </c>
      <c r="K994">
        <v>424</v>
      </c>
      <c r="L994">
        <v>0.8833333333333333</v>
      </c>
      <c r="M994">
        <v>0.79481132075471694</v>
      </c>
      <c r="N994">
        <v>0.95608308605341241</v>
      </c>
      <c r="O994">
        <v>0.6712499999999999</v>
      </c>
    </row>
    <row r="995" spans="1:15" x14ac:dyDescent="0.3">
      <c r="A995">
        <v>994</v>
      </c>
      <c r="B995" s="1">
        <v>45740</v>
      </c>
      <c r="C995" t="s">
        <v>21</v>
      </c>
      <c r="D995" t="s">
        <v>17</v>
      </c>
      <c r="E995">
        <v>480</v>
      </c>
      <c r="F995">
        <v>9</v>
      </c>
      <c r="G995">
        <v>1734</v>
      </c>
      <c r="H995">
        <v>1690</v>
      </c>
      <c r="I995">
        <v>44</v>
      </c>
      <c r="J995">
        <v>12.6</v>
      </c>
      <c r="K995">
        <v>471</v>
      </c>
      <c r="L995">
        <v>0.98124999999999996</v>
      </c>
      <c r="M995">
        <v>0.77312101910828013</v>
      </c>
      <c r="N995">
        <v>0.9746251441753172</v>
      </c>
      <c r="O995">
        <v>0.73937499999999989</v>
      </c>
    </row>
    <row r="996" spans="1:15" x14ac:dyDescent="0.3">
      <c r="A996">
        <v>995</v>
      </c>
      <c r="B996" s="1">
        <v>45740</v>
      </c>
      <c r="C996" t="s">
        <v>21</v>
      </c>
      <c r="D996" t="s">
        <v>18</v>
      </c>
      <c r="E996">
        <v>480</v>
      </c>
      <c r="F996">
        <v>10</v>
      </c>
      <c r="G996">
        <v>2042</v>
      </c>
      <c r="H996">
        <v>2001</v>
      </c>
      <c r="I996">
        <v>41</v>
      </c>
      <c r="J996">
        <v>13.2</v>
      </c>
      <c r="K996">
        <v>470</v>
      </c>
      <c r="L996">
        <v>0.97916666666666663</v>
      </c>
      <c r="M996">
        <v>0.95582978723404244</v>
      </c>
      <c r="N996">
        <v>0.97992164544564153</v>
      </c>
      <c r="O996">
        <v>0.91712499999999986</v>
      </c>
    </row>
    <row r="997" spans="1:15" x14ac:dyDescent="0.3">
      <c r="A997">
        <v>996</v>
      </c>
      <c r="B997" s="1">
        <v>45740</v>
      </c>
      <c r="C997" t="s">
        <v>21</v>
      </c>
      <c r="D997" t="s">
        <v>19</v>
      </c>
      <c r="E997">
        <v>480</v>
      </c>
      <c r="F997">
        <v>45</v>
      </c>
      <c r="G997">
        <v>1451</v>
      </c>
      <c r="H997">
        <v>1427</v>
      </c>
      <c r="I997">
        <v>24</v>
      </c>
      <c r="J997">
        <v>13.8</v>
      </c>
      <c r="K997">
        <v>435</v>
      </c>
      <c r="L997">
        <v>0.90625</v>
      </c>
      <c r="M997">
        <v>0.76719540229885053</v>
      </c>
      <c r="N997">
        <v>0.98345968297725705</v>
      </c>
      <c r="O997">
        <v>0.68377083333333333</v>
      </c>
    </row>
    <row r="998" spans="1:15" x14ac:dyDescent="0.3">
      <c r="A998">
        <v>997</v>
      </c>
      <c r="B998" s="1">
        <v>45741</v>
      </c>
      <c r="C998" t="s">
        <v>15</v>
      </c>
      <c r="D998" t="s">
        <v>16</v>
      </c>
      <c r="E998">
        <v>480</v>
      </c>
      <c r="F998">
        <v>24</v>
      </c>
      <c r="G998">
        <v>1844</v>
      </c>
      <c r="H998">
        <v>1766</v>
      </c>
      <c r="I998">
        <v>78</v>
      </c>
      <c r="J998">
        <v>12</v>
      </c>
      <c r="K998">
        <v>456</v>
      </c>
      <c r="L998">
        <v>0.95</v>
      </c>
      <c r="M998">
        <v>0.80877192982456136</v>
      </c>
      <c r="N998">
        <v>0.95770065075921906</v>
      </c>
      <c r="O998">
        <v>0.73583333333333334</v>
      </c>
    </row>
    <row r="999" spans="1:15" x14ac:dyDescent="0.3">
      <c r="A999">
        <v>998</v>
      </c>
      <c r="B999" s="1">
        <v>45741</v>
      </c>
      <c r="C999" t="s">
        <v>15</v>
      </c>
      <c r="D999" t="s">
        <v>17</v>
      </c>
      <c r="E999">
        <v>480</v>
      </c>
      <c r="F999">
        <v>0</v>
      </c>
      <c r="G999">
        <v>1996</v>
      </c>
      <c r="H999">
        <v>1933</v>
      </c>
      <c r="I999">
        <v>63</v>
      </c>
      <c r="J999">
        <v>12.6</v>
      </c>
      <c r="K999">
        <v>480</v>
      </c>
      <c r="L999">
        <v>1</v>
      </c>
      <c r="M999">
        <v>0.87324999999999997</v>
      </c>
      <c r="N999">
        <v>0.96843687374749499</v>
      </c>
      <c r="O999">
        <v>0.84568749999999993</v>
      </c>
    </row>
    <row r="1000" spans="1:15" x14ac:dyDescent="0.3">
      <c r="A1000">
        <v>999</v>
      </c>
      <c r="B1000" s="1">
        <v>45741</v>
      </c>
      <c r="C1000" t="s">
        <v>15</v>
      </c>
      <c r="D1000" t="s">
        <v>18</v>
      </c>
      <c r="E1000">
        <v>480</v>
      </c>
      <c r="F1000">
        <v>170</v>
      </c>
      <c r="G1000">
        <v>1253</v>
      </c>
      <c r="H1000">
        <v>1216</v>
      </c>
      <c r="I1000">
        <v>37</v>
      </c>
      <c r="J1000">
        <v>13.2</v>
      </c>
      <c r="K1000">
        <v>310</v>
      </c>
      <c r="L1000">
        <v>0.64583333333333337</v>
      </c>
      <c r="M1000">
        <v>0.88922580645161287</v>
      </c>
      <c r="N1000">
        <v>0.97047086991221065</v>
      </c>
      <c r="O1000">
        <v>0.55733333333333324</v>
      </c>
    </row>
    <row r="1001" spans="1:15" x14ac:dyDescent="0.3">
      <c r="A1001">
        <v>1000</v>
      </c>
      <c r="B1001" s="1">
        <v>45741</v>
      </c>
      <c r="C1001" t="s">
        <v>15</v>
      </c>
      <c r="D1001" t="s">
        <v>19</v>
      </c>
      <c r="E1001">
        <v>480</v>
      </c>
      <c r="F1001">
        <v>9</v>
      </c>
      <c r="G1001">
        <v>1966</v>
      </c>
      <c r="H1001">
        <v>1911</v>
      </c>
      <c r="I1001">
        <v>55</v>
      </c>
      <c r="J1001">
        <v>13.8</v>
      </c>
      <c r="K1001">
        <v>471</v>
      </c>
      <c r="L1001">
        <v>0.98124999999999996</v>
      </c>
      <c r="M1001">
        <v>0.96004246284501071</v>
      </c>
      <c r="N1001">
        <v>0.97202441505595116</v>
      </c>
      <c r="O1001">
        <v>0.91568749999999999</v>
      </c>
    </row>
    <row r="1002" spans="1:15" x14ac:dyDescent="0.3">
      <c r="A1002">
        <v>1001</v>
      </c>
      <c r="B1002" s="1">
        <v>45741</v>
      </c>
      <c r="C1002" t="s">
        <v>20</v>
      </c>
      <c r="D1002" t="s">
        <v>16</v>
      </c>
      <c r="E1002">
        <v>480</v>
      </c>
      <c r="F1002">
        <v>15</v>
      </c>
      <c r="G1002">
        <v>2072</v>
      </c>
      <c r="H1002">
        <v>2017</v>
      </c>
      <c r="I1002">
        <v>55</v>
      </c>
      <c r="J1002">
        <v>12</v>
      </c>
      <c r="K1002">
        <v>465</v>
      </c>
      <c r="L1002">
        <v>0.96875</v>
      </c>
      <c r="M1002">
        <v>0.89118279569892478</v>
      </c>
      <c r="N1002">
        <v>0.97345559845559848</v>
      </c>
      <c r="O1002">
        <v>0.8404166666666667</v>
      </c>
    </row>
    <row r="1003" spans="1:15" x14ac:dyDescent="0.3">
      <c r="A1003">
        <v>1002</v>
      </c>
      <c r="B1003" s="1">
        <v>45741</v>
      </c>
      <c r="C1003" t="s">
        <v>20</v>
      </c>
      <c r="D1003" t="s">
        <v>17</v>
      </c>
      <c r="E1003">
        <v>480</v>
      </c>
      <c r="F1003">
        <v>17</v>
      </c>
      <c r="G1003">
        <v>1855</v>
      </c>
      <c r="H1003">
        <v>1791</v>
      </c>
      <c r="I1003">
        <v>64</v>
      </c>
      <c r="J1003">
        <v>12.6</v>
      </c>
      <c r="K1003">
        <v>463</v>
      </c>
      <c r="L1003">
        <v>0.96458333333333335</v>
      </c>
      <c r="M1003">
        <v>0.84136069114470846</v>
      </c>
      <c r="N1003">
        <v>0.9654986522911051</v>
      </c>
      <c r="O1003">
        <v>0.78356250000000005</v>
      </c>
    </row>
    <row r="1004" spans="1:15" x14ac:dyDescent="0.3">
      <c r="A1004">
        <v>1003</v>
      </c>
      <c r="B1004" s="1">
        <v>45741</v>
      </c>
      <c r="C1004" t="s">
        <v>20</v>
      </c>
      <c r="D1004" t="s">
        <v>18</v>
      </c>
      <c r="E1004">
        <v>480</v>
      </c>
      <c r="F1004">
        <v>14</v>
      </c>
      <c r="G1004">
        <v>1755</v>
      </c>
      <c r="H1004">
        <v>1726</v>
      </c>
      <c r="I1004">
        <v>29</v>
      </c>
      <c r="J1004">
        <v>13.2</v>
      </c>
      <c r="K1004">
        <v>466</v>
      </c>
      <c r="L1004">
        <v>0.97083333333333333</v>
      </c>
      <c r="M1004">
        <v>0.82854077253218883</v>
      </c>
      <c r="N1004">
        <v>0.98347578347578346</v>
      </c>
      <c r="O1004">
        <v>0.79108333333333325</v>
      </c>
    </row>
    <row r="1005" spans="1:15" x14ac:dyDescent="0.3">
      <c r="A1005">
        <v>1004</v>
      </c>
      <c r="B1005" s="1">
        <v>45741</v>
      </c>
      <c r="C1005" t="s">
        <v>20</v>
      </c>
      <c r="D1005" t="s">
        <v>19</v>
      </c>
      <c r="E1005">
        <v>480</v>
      </c>
      <c r="F1005">
        <v>22</v>
      </c>
      <c r="G1005">
        <v>1686</v>
      </c>
      <c r="H1005">
        <v>1589</v>
      </c>
      <c r="I1005">
        <v>97</v>
      </c>
      <c r="J1005">
        <v>13.8</v>
      </c>
      <c r="K1005">
        <v>458</v>
      </c>
      <c r="L1005">
        <v>0.95416666666666672</v>
      </c>
      <c r="M1005">
        <v>0.84668122270742374</v>
      </c>
      <c r="N1005">
        <v>0.94246737841043893</v>
      </c>
      <c r="O1005">
        <v>0.7613958333333336</v>
      </c>
    </row>
    <row r="1006" spans="1:15" x14ac:dyDescent="0.3">
      <c r="A1006">
        <v>1005</v>
      </c>
      <c r="B1006" s="1">
        <v>45741</v>
      </c>
      <c r="C1006" t="s">
        <v>21</v>
      </c>
      <c r="D1006" t="s">
        <v>16</v>
      </c>
      <c r="E1006">
        <v>480</v>
      </c>
      <c r="F1006">
        <v>47</v>
      </c>
      <c r="G1006">
        <v>1662</v>
      </c>
      <c r="H1006">
        <v>1640</v>
      </c>
      <c r="I1006">
        <v>22</v>
      </c>
      <c r="J1006">
        <v>12</v>
      </c>
      <c r="K1006">
        <v>433</v>
      </c>
      <c r="L1006">
        <v>0.90208333333333335</v>
      </c>
      <c r="M1006">
        <v>0.76766743648960734</v>
      </c>
      <c r="N1006">
        <v>0.98676293622141997</v>
      </c>
      <c r="O1006">
        <v>0.68333333333333335</v>
      </c>
    </row>
    <row r="1007" spans="1:15" x14ac:dyDescent="0.3">
      <c r="A1007">
        <v>1006</v>
      </c>
      <c r="B1007" s="1">
        <v>45741</v>
      </c>
      <c r="C1007" t="s">
        <v>21</v>
      </c>
      <c r="D1007" t="s">
        <v>17</v>
      </c>
      <c r="E1007">
        <v>480</v>
      </c>
      <c r="F1007">
        <v>23</v>
      </c>
      <c r="G1007">
        <v>2049</v>
      </c>
      <c r="H1007">
        <v>2016</v>
      </c>
      <c r="I1007">
        <v>33</v>
      </c>
      <c r="J1007">
        <v>12.6</v>
      </c>
      <c r="K1007">
        <v>457</v>
      </c>
      <c r="L1007">
        <v>0.95208333333333328</v>
      </c>
      <c r="M1007">
        <v>0.94155361050328223</v>
      </c>
      <c r="N1007">
        <v>0.98389458272327968</v>
      </c>
      <c r="O1007">
        <v>0.8819999999999999</v>
      </c>
    </row>
    <row r="1008" spans="1:15" x14ac:dyDescent="0.3">
      <c r="A1008">
        <v>1007</v>
      </c>
      <c r="B1008" s="1">
        <v>45741</v>
      </c>
      <c r="C1008" t="s">
        <v>21</v>
      </c>
      <c r="D1008" t="s">
        <v>18</v>
      </c>
      <c r="E1008">
        <v>480</v>
      </c>
      <c r="F1008">
        <v>0</v>
      </c>
      <c r="G1008">
        <v>1915</v>
      </c>
      <c r="H1008">
        <v>1806</v>
      </c>
      <c r="I1008">
        <v>109</v>
      </c>
      <c r="J1008">
        <v>13.2</v>
      </c>
      <c r="K1008">
        <v>480</v>
      </c>
      <c r="L1008">
        <v>1</v>
      </c>
      <c r="M1008">
        <v>0.87770833333333331</v>
      </c>
      <c r="N1008">
        <v>0.94308093994778064</v>
      </c>
      <c r="O1008">
        <v>0.82774999999999999</v>
      </c>
    </row>
    <row r="1009" spans="1:15" x14ac:dyDescent="0.3">
      <c r="A1009">
        <v>1008</v>
      </c>
      <c r="B1009" s="1">
        <v>45741</v>
      </c>
      <c r="C1009" t="s">
        <v>21</v>
      </c>
      <c r="D1009" t="s">
        <v>19</v>
      </c>
      <c r="E1009">
        <v>480</v>
      </c>
      <c r="F1009">
        <v>79</v>
      </c>
      <c r="G1009">
        <v>1643</v>
      </c>
      <c r="H1009">
        <v>1545</v>
      </c>
      <c r="I1009">
        <v>98</v>
      </c>
      <c r="J1009">
        <v>13.8</v>
      </c>
      <c r="K1009">
        <v>401</v>
      </c>
      <c r="L1009">
        <v>0.8354166666666667</v>
      </c>
      <c r="M1009">
        <v>0.94236907730673325</v>
      </c>
      <c r="N1009">
        <v>0.9403530127814973</v>
      </c>
      <c r="O1009">
        <v>0.74031250000000015</v>
      </c>
    </row>
    <row r="1010" spans="1:15" x14ac:dyDescent="0.3">
      <c r="A1010">
        <v>1009</v>
      </c>
      <c r="B1010" s="1">
        <v>45742</v>
      </c>
      <c r="C1010" t="s">
        <v>15</v>
      </c>
      <c r="D1010" t="s">
        <v>16</v>
      </c>
      <c r="E1010">
        <v>480</v>
      </c>
      <c r="F1010">
        <v>0</v>
      </c>
      <c r="G1010">
        <v>1862</v>
      </c>
      <c r="H1010">
        <v>1787</v>
      </c>
      <c r="I1010">
        <v>75</v>
      </c>
      <c r="J1010">
        <v>12</v>
      </c>
      <c r="K1010">
        <v>480</v>
      </c>
      <c r="L1010">
        <v>1</v>
      </c>
      <c r="M1010">
        <v>0.77583333333333337</v>
      </c>
      <c r="N1010">
        <v>0.95972073039742212</v>
      </c>
      <c r="O1010">
        <v>0.74458333333333337</v>
      </c>
    </row>
    <row r="1011" spans="1:15" x14ac:dyDescent="0.3">
      <c r="A1011">
        <v>1010</v>
      </c>
      <c r="B1011" s="1">
        <v>45742</v>
      </c>
      <c r="C1011" t="s">
        <v>15</v>
      </c>
      <c r="D1011" t="s">
        <v>17</v>
      </c>
      <c r="E1011">
        <v>480</v>
      </c>
      <c r="F1011">
        <v>19</v>
      </c>
      <c r="G1011">
        <v>1929</v>
      </c>
      <c r="H1011">
        <v>1840</v>
      </c>
      <c r="I1011">
        <v>89</v>
      </c>
      <c r="J1011">
        <v>12.6</v>
      </c>
      <c r="K1011">
        <v>461</v>
      </c>
      <c r="L1011">
        <v>0.9604166666666667</v>
      </c>
      <c r="M1011">
        <v>0.87872017353579168</v>
      </c>
      <c r="N1011">
        <v>0.95386210471747024</v>
      </c>
      <c r="O1011">
        <v>0.80500000000000005</v>
      </c>
    </row>
    <row r="1012" spans="1:15" x14ac:dyDescent="0.3">
      <c r="A1012">
        <v>1011</v>
      </c>
      <c r="B1012" s="1">
        <v>45742</v>
      </c>
      <c r="C1012" t="s">
        <v>15</v>
      </c>
      <c r="D1012" t="s">
        <v>18</v>
      </c>
      <c r="E1012">
        <v>480</v>
      </c>
      <c r="F1012">
        <v>15</v>
      </c>
      <c r="G1012">
        <v>1896</v>
      </c>
      <c r="H1012">
        <v>1853</v>
      </c>
      <c r="I1012">
        <v>43</v>
      </c>
      <c r="J1012">
        <v>13.2</v>
      </c>
      <c r="K1012">
        <v>465</v>
      </c>
      <c r="L1012">
        <v>0.96875</v>
      </c>
      <c r="M1012">
        <v>0.89703225806451603</v>
      </c>
      <c r="N1012">
        <v>0.97732067510548526</v>
      </c>
      <c r="O1012">
        <v>0.84929166666666656</v>
      </c>
    </row>
    <row r="1013" spans="1:15" x14ac:dyDescent="0.3">
      <c r="A1013">
        <v>1012</v>
      </c>
      <c r="B1013" s="1">
        <v>45742</v>
      </c>
      <c r="C1013" t="s">
        <v>15</v>
      </c>
      <c r="D1013" t="s">
        <v>19</v>
      </c>
      <c r="E1013">
        <v>480</v>
      </c>
      <c r="F1013">
        <v>0</v>
      </c>
      <c r="G1013">
        <v>1622</v>
      </c>
      <c r="H1013">
        <v>1588</v>
      </c>
      <c r="I1013">
        <v>34</v>
      </c>
      <c r="J1013">
        <v>13.8</v>
      </c>
      <c r="K1013">
        <v>480</v>
      </c>
      <c r="L1013">
        <v>1</v>
      </c>
      <c r="M1013">
        <v>0.77720833333333339</v>
      </c>
      <c r="N1013">
        <v>0.97903822441430333</v>
      </c>
      <c r="O1013">
        <v>0.76091666666666669</v>
      </c>
    </row>
    <row r="1014" spans="1:15" x14ac:dyDescent="0.3">
      <c r="A1014">
        <v>1013</v>
      </c>
      <c r="B1014" s="1">
        <v>45742</v>
      </c>
      <c r="C1014" t="s">
        <v>20</v>
      </c>
      <c r="D1014" t="s">
        <v>16</v>
      </c>
      <c r="E1014">
        <v>480</v>
      </c>
      <c r="F1014">
        <v>110</v>
      </c>
      <c r="G1014">
        <v>1719</v>
      </c>
      <c r="H1014">
        <v>1681</v>
      </c>
      <c r="I1014">
        <v>38</v>
      </c>
      <c r="J1014">
        <v>12</v>
      </c>
      <c r="K1014">
        <v>370</v>
      </c>
      <c r="L1014">
        <v>0.77083333333333337</v>
      </c>
      <c r="M1014">
        <v>0.92918918918918914</v>
      </c>
      <c r="N1014">
        <v>0.97789412449098312</v>
      </c>
      <c r="O1014">
        <v>0.70041666666666658</v>
      </c>
    </row>
    <row r="1015" spans="1:15" x14ac:dyDescent="0.3">
      <c r="A1015">
        <v>1014</v>
      </c>
      <c r="B1015" s="1">
        <v>45742</v>
      </c>
      <c r="C1015" t="s">
        <v>20</v>
      </c>
      <c r="D1015" t="s">
        <v>17</v>
      </c>
      <c r="E1015">
        <v>480</v>
      </c>
      <c r="F1015">
        <v>58</v>
      </c>
      <c r="G1015">
        <v>1813</v>
      </c>
      <c r="H1015">
        <v>1785</v>
      </c>
      <c r="I1015">
        <v>28</v>
      </c>
      <c r="J1015">
        <v>12.6</v>
      </c>
      <c r="K1015">
        <v>422</v>
      </c>
      <c r="L1015">
        <v>0.87916666666666665</v>
      </c>
      <c r="M1015">
        <v>0.90220379146919427</v>
      </c>
      <c r="N1015">
        <v>0.98455598455598459</v>
      </c>
      <c r="O1015">
        <v>0.78093749999999995</v>
      </c>
    </row>
    <row r="1016" spans="1:15" x14ac:dyDescent="0.3">
      <c r="A1016">
        <v>1015</v>
      </c>
      <c r="B1016" s="1">
        <v>45742</v>
      </c>
      <c r="C1016" t="s">
        <v>20</v>
      </c>
      <c r="D1016" t="s">
        <v>18</v>
      </c>
      <c r="E1016">
        <v>480</v>
      </c>
      <c r="F1016">
        <v>89</v>
      </c>
      <c r="G1016">
        <v>1570</v>
      </c>
      <c r="H1016">
        <v>1499</v>
      </c>
      <c r="I1016">
        <v>71</v>
      </c>
      <c r="J1016">
        <v>13.2</v>
      </c>
      <c r="K1016">
        <v>391</v>
      </c>
      <c r="L1016">
        <v>0.81458333333333333</v>
      </c>
      <c r="M1016">
        <v>0.8833759590792839</v>
      </c>
      <c r="N1016">
        <v>0.95477707006369428</v>
      </c>
      <c r="O1016">
        <v>0.68704166666666666</v>
      </c>
    </row>
    <row r="1017" spans="1:15" x14ac:dyDescent="0.3">
      <c r="A1017">
        <v>1016</v>
      </c>
      <c r="B1017" s="1">
        <v>45742</v>
      </c>
      <c r="C1017" t="s">
        <v>20</v>
      </c>
      <c r="D1017" t="s">
        <v>19</v>
      </c>
      <c r="E1017">
        <v>480</v>
      </c>
      <c r="F1017">
        <v>53</v>
      </c>
      <c r="G1017">
        <v>1615</v>
      </c>
      <c r="H1017">
        <v>1593</v>
      </c>
      <c r="I1017">
        <v>22</v>
      </c>
      <c r="J1017">
        <v>13.8</v>
      </c>
      <c r="K1017">
        <v>427</v>
      </c>
      <c r="L1017">
        <v>0.88958333333333328</v>
      </c>
      <c r="M1017">
        <v>0.86990632318501171</v>
      </c>
      <c r="N1017">
        <v>0.98637770897832822</v>
      </c>
      <c r="O1017">
        <v>0.76331249999999995</v>
      </c>
    </row>
    <row r="1018" spans="1:15" x14ac:dyDescent="0.3">
      <c r="A1018">
        <v>1017</v>
      </c>
      <c r="B1018" s="1">
        <v>45742</v>
      </c>
      <c r="C1018" t="s">
        <v>21</v>
      </c>
      <c r="D1018" t="s">
        <v>16</v>
      </c>
      <c r="E1018">
        <v>480</v>
      </c>
      <c r="F1018">
        <v>0</v>
      </c>
      <c r="G1018">
        <v>2263</v>
      </c>
      <c r="H1018">
        <v>2159</v>
      </c>
      <c r="I1018">
        <v>104</v>
      </c>
      <c r="J1018">
        <v>12</v>
      </c>
      <c r="K1018">
        <v>480</v>
      </c>
      <c r="L1018">
        <v>1</v>
      </c>
      <c r="M1018">
        <v>0.94291666666666663</v>
      </c>
      <c r="N1018">
        <v>0.95404330534688464</v>
      </c>
      <c r="O1018">
        <v>0.89958333333333329</v>
      </c>
    </row>
    <row r="1019" spans="1:15" x14ac:dyDescent="0.3">
      <c r="A1019">
        <v>1018</v>
      </c>
      <c r="B1019" s="1">
        <v>45742</v>
      </c>
      <c r="C1019" t="s">
        <v>21</v>
      </c>
      <c r="D1019" t="s">
        <v>17</v>
      </c>
      <c r="E1019">
        <v>480</v>
      </c>
      <c r="F1019">
        <v>14</v>
      </c>
      <c r="G1019">
        <v>1670</v>
      </c>
      <c r="H1019">
        <v>1571</v>
      </c>
      <c r="I1019">
        <v>99</v>
      </c>
      <c r="J1019">
        <v>12.6</v>
      </c>
      <c r="K1019">
        <v>466</v>
      </c>
      <c r="L1019">
        <v>0.97083333333333333</v>
      </c>
      <c r="M1019">
        <v>0.7525751072961373</v>
      </c>
      <c r="N1019">
        <v>0.94071856287425148</v>
      </c>
      <c r="O1019">
        <v>0.68731249999999999</v>
      </c>
    </row>
    <row r="1020" spans="1:15" x14ac:dyDescent="0.3">
      <c r="A1020">
        <v>1019</v>
      </c>
      <c r="B1020" s="1">
        <v>45742</v>
      </c>
      <c r="C1020" t="s">
        <v>21</v>
      </c>
      <c r="D1020" t="s">
        <v>18</v>
      </c>
      <c r="E1020">
        <v>480</v>
      </c>
      <c r="F1020">
        <v>39</v>
      </c>
      <c r="G1020">
        <v>1920</v>
      </c>
      <c r="H1020">
        <v>1871</v>
      </c>
      <c r="I1020">
        <v>49</v>
      </c>
      <c r="J1020">
        <v>13.2</v>
      </c>
      <c r="K1020">
        <v>441</v>
      </c>
      <c r="L1020">
        <v>0.91874999999999996</v>
      </c>
      <c r="M1020">
        <v>0.95782312925170066</v>
      </c>
      <c r="N1020">
        <v>0.97447916666666667</v>
      </c>
      <c r="O1020">
        <v>0.85754166666666654</v>
      </c>
    </row>
    <row r="1021" spans="1:15" x14ac:dyDescent="0.3">
      <c r="A1021">
        <v>1020</v>
      </c>
      <c r="B1021" s="1">
        <v>45742</v>
      </c>
      <c r="C1021" t="s">
        <v>21</v>
      </c>
      <c r="D1021" t="s">
        <v>19</v>
      </c>
      <c r="E1021">
        <v>480</v>
      </c>
      <c r="F1021">
        <v>12</v>
      </c>
      <c r="G1021">
        <v>1624</v>
      </c>
      <c r="H1021">
        <v>1583</v>
      </c>
      <c r="I1021">
        <v>41</v>
      </c>
      <c r="J1021">
        <v>13.8</v>
      </c>
      <c r="K1021">
        <v>468</v>
      </c>
      <c r="L1021">
        <v>0.97499999999999998</v>
      </c>
      <c r="M1021">
        <v>0.79811965811965813</v>
      </c>
      <c r="N1021">
        <v>0.97475369458128081</v>
      </c>
      <c r="O1021">
        <v>0.75852083333333331</v>
      </c>
    </row>
    <row r="1022" spans="1:15" x14ac:dyDescent="0.3">
      <c r="A1022">
        <v>1021</v>
      </c>
      <c r="B1022" s="1">
        <v>45743</v>
      </c>
      <c r="C1022" t="s">
        <v>15</v>
      </c>
      <c r="D1022" t="s">
        <v>16</v>
      </c>
      <c r="E1022">
        <v>480</v>
      </c>
      <c r="F1022">
        <v>0</v>
      </c>
      <c r="G1022">
        <v>2297</v>
      </c>
      <c r="H1022">
        <v>2229</v>
      </c>
      <c r="I1022">
        <v>68</v>
      </c>
      <c r="J1022">
        <v>12</v>
      </c>
      <c r="K1022">
        <v>480</v>
      </c>
      <c r="L1022">
        <v>1</v>
      </c>
      <c r="M1022">
        <v>0.95708333333333329</v>
      </c>
      <c r="N1022">
        <v>0.97039616891597735</v>
      </c>
      <c r="O1022">
        <v>0.92874999999999996</v>
      </c>
    </row>
    <row r="1023" spans="1:15" x14ac:dyDescent="0.3">
      <c r="A1023">
        <v>1022</v>
      </c>
      <c r="B1023" s="1">
        <v>45743</v>
      </c>
      <c r="C1023" t="s">
        <v>15</v>
      </c>
      <c r="D1023" t="s">
        <v>17</v>
      </c>
      <c r="E1023">
        <v>480</v>
      </c>
      <c r="F1023">
        <v>61</v>
      </c>
      <c r="G1023">
        <v>1942</v>
      </c>
      <c r="H1023">
        <v>1881</v>
      </c>
      <c r="I1023">
        <v>61</v>
      </c>
      <c r="J1023">
        <v>12.6</v>
      </c>
      <c r="K1023">
        <v>419</v>
      </c>
      <c r="L1023">
        <v>0.87291666666666667</v>
      </c>
      <c r="M1023">
        <v>0.97331742243436759</v>
      </c>
      <c r="N1023">
        <v>0.96858908341915551</v>
      </c>
      <c r="O1023">
        <v>0.8229375000000001</v>
      </c>
    </row>
    <row r="1024" spans="1:15" x14ac:dyDescent="0.3">
      <c r="A1024">
        <v>1023</v>
      </c>
      <c r="B1024" s="1">
        <v>45743</v>
      </c>
      <c r="C1024" t="s">
        <v>15</v>
      </c>
      <c r="D1024" t="s">
        <v>18</v>
      </c>
      <c r="E1024">
        <v>480</v>
      </c>
      <c r="F1024">
        <v>87</v>
      </c>
      <c r="G1024">
        <v>1520</v>
      </c>
      <c r="H1024">
        <v>1437</v>
      </c>
      <c r="I1024">
        <v>83</v>
      </c>
      <c r="J1024">
        <v>13.2</v>
      </c>
      <c r="K1024">
        <v>393</v>
      </c>
      <c r="L1024">
        <v>0.81874999999999998</v>
      </c>
      <c r="M1024">
        <v>0.85089058524173034</v>
      </c>
      <c r="N1024">
        <v>0.94539473684210529</v>
      </c>
      <c r="O1024">
        <v>0.65862500000000002</v>
      </c>
    </row>
    <row r="1025" spans="1:15" x14ac:dyDescent="0.3">
      <c r="A1025">
        <v>1024</v>
      </c>
      <c r="B1025" s="1">
        <v>45743</v>
      </c>
      <c r="C1025" t="s">
        <v>15</v>
      </c>
      <c r="D1025" t="s">
        <v>19</v>
      </c>
      <c r="E1025">
        <v>480</v>
      </c>
      <c r="F1025">
        <v>189</v>
      </c>
      <c r="G1025">
        <v>1043</v>
      </c>
      <c r="H1025">
        <v>1001</v>
      </c>
      <c r="I1025">
        <v>42</v>
      </c>
      <c r="J1025">
        <v>13.8</v>
      </c>
      <c r="K1025">
        <v>291</v>
      </c>
      <c r="L1025">
        <v>0.60624999999999996</v>
      </c>
      <c r="M1025">
        <v>0.82436426116838502</v>
      </c>
      <c r="N1025">
        <v>0.95973154362416102</v>
      </c>
      <c r="O1025">
        <v>0.47964583333333338</v>
      </c>
    </row>
    <row r="1026" spans="1:15" x14ac:dyDescent="0.3">
      <c r="A1026">
        <v>1025</v>
      </c>
      <c r="B1026" s="1">
        <v>45743</v>
      </c>
      <c r="C1026" t="s">
        <v>20</v>
      </c>
      <c r="D1026" t="s">
        <v>16</v>
      </c>
      <c r="E1026">
        <v>480</v>
      </c>
      <c r="F1026">
        <v>0</v>
      </c>
      <c r="G1026">
        <v>1813</v>
      </c>
      <c r="H1026">
        <v>1755</v>
      </c>
      <c r="I1026">
        <v>58</v>
      </c>
      <c r="J1026">
        <v>12</v>
      </c>
      <c r="K1026">
        <v>480</v>
      </c>
      <c r="L1026">
        <v>1</v>
      </c>
      <c r="M1026">
        <v>0.75541666666666663</v>
      </c>
      <c r="N1026">
        <v>0.9680088251516823</v>
      </c>
      <c r="O1026">
        <v>0.73124999999999996</v>
      </c>
    </row>
    <row r="1027" spans="1:15" x14ac:dyDescent="0.3">
      <c r="A1027">
        <v>1026</v>
      </c>
      <c r="B1027" s="1">
        <v>45743</v>
      </c>
      <c r="C1027" t="s">
        <v>20</v>
      </c>
      <c r="D1027" t="s">
        <v>17</v>
      </c>
      <c r="E1027">
        <v>480</v>
      </c>
      <c r="F1027">
        <v>8</v>
      </c>
      <c r="G1027">
        <v>2041</v>
      </c>
      <c r="H1027">
        <v>1969</v>
      </c>
      <c r="I1027">
        <v>72</v>
      </c>
      <c r="J1027">
        <v>12.6</v>
      </c>
      <c r="K1027">
        <v>472</v>
      </c>
      <c r="L1027">
        <v>0.98333333333333328</v>
      </c>
      <c r="M1027">
        <v>0.90807203389830504</v>
      </c>
      <c r="N1027">
        <v>0.96472317491425774</v>
      </c>
      <c r="O1027">
        <v>0.86143749999999997</v>
      </c>
    </row>
    <row r="1028" spans="1:15" x14ac:dyDescent="0.3">
      <c r="A1028">
        <v>1027</v>
      </c>
      <c r="B1028" s="1">
        <v>45743</v>
      </c>
      <c r="C1028" t="s">
        <v>20</v>
      </c>
      <c r="D1028" t="s">
        <v>18</v>
      </c>
      <c r="E1028">
        <v>480</v>
      </c>
      <c r="F1028">
        <v>0</v>
      </c>
      <c r="G1028">
        <v>1796</v>
      </c>
      <c r="H1028">
        <v>1725</v>
      </c>
      <c r="I1028">
        <v>71</v>
      </c>
      <c r="J1028">
        <v>13.2</v>
      </c>
      <c r="K1028">
        <v>480</v>
      </c>
      <c r="L1028">
        <v>1</v>
      </c>
      <c r="M1028">
        <v>0.8231666666666666</v>
      </c>
      <c r="N1028">
        <v>0.96046770601336307</v>
      </c>
      <c r="O1028">
        <v>0.79062500000000002</v>
      </c>
    </row>
    <row r="1029" spans="1:15" x14ac:dyDescent="0.3">
      <c r="A1029">
        <v>1028</v>
      </c>
      <c r="B1029" s="1">
        <v>45743</v>
      </c>
      <c r="C1029" t="s">
        <v>20</v>
      </c>
      <c r="D1029" t="s">
        <v>19</v>
      </c>
      <c r="E1029">
        <v>480</v>
      </c>
      <c r="F1029">
        <v>0</v>
      </c>
      <c r="G1029">
        <v>1635</v>
      </c>
      <c r="H1029">
        <v>1613</v>
      </c>
      <c r="I1029">
        <v>22</v>
      </c>
      <c r="J1029">
        <v>13.8</v>
      </c>
      <c r="K1029">
        <v>480</v>
      </c>
      <c r="L1029">
        <v>1</v>
      </c>
      <c r="M1029">
        <v>0.78343750000000001</v>
      </c>
      <c r="N1029">
        <v>0.98654434250764522</v>
      </c>
      <c r="O1029">
        <v>0.77289583333333334</v>
      </c>
    </row>
    <row r="1030" spans="1:15" x14ac:dyDescent="0.3">
      <c r="A1030">
        <v>1029</v>
      </c>
      <c r="B1030" s="1">
        <v>45743</v>
      </c>
      <c r="C1030" t="s">
        <v>21</v>
      </c>
      <c r="D1030" t="s">
        <v>16</v>
      </c>
      <c r="E1030">
        <v>480</v>
      </c>
      <c r="F1030">
        <v>79</v>
      </c>
      <c r="G1030">
        <v>1800</v>
      </c>
      <c r="H1030">
        <v>1720</v>
      </c>
      <c r="I1030">
        <v>80</v>
      </c>
      <c r="J1030">
        <v>12</v>
      </c>
      <c r="K1030">
        <v>401</v>
      </c>
      <c r="L1030">
        <v>0.8354166666666667</v>
      </c>
      <c r="M1030">
        <v>0.89775561097256862</v>
      </c>
      <c r="N1030">
        <v>0.9555555555555556</v>
      </c>
      <c r="O1030">
        <v>0.71666666666666679</v>
      </c>
    </row>
    <row r="1031" spans="1:15" x14ac:dyDescent="0.3">
      <c r="A1031">
        <v>1030</v>
      </c>
      <c r="B1031" s="1">
        <v>45743</v>
      </c>
      <c r="C1031" t="s">
        <v>21</v>
      </c>
      <c r="D1031" t="s">
        <v>17</v>
      </c>
      <c r="E1031">
        <v>480</v>
      </c>
      <c r="F1031">
        <v>135</v>
      </c>
      <c r="G1031">
        <v>1259</v>
      </c>
      <c r="H1031">
        <v>1244</v>
      </c>
      <c r="I1031">
        <v>15</v>
      </c>
      <c r="J1031">
        <v>12.6</v>
      </c>
      <c r="K1031">
        <v>345</v>
      </c>
      <c r="L1031">
        <v>0.71875</v>
      </c>
      <c r="M1031">
        <v>0.76634782608695651</v>
      </c>
      <c r="N1031">
        <v>0.98808578236695788</v>
      </c>
      <c r="O1031">
        <v>0.54425000000000001</v>
      </c>
    </row>
    <row r="1032" spans="1:15" x14ac:dyDescent="0.3">
      <c r="A1032">
        <v>1031</v>
      </c>
      <c r="B1032" s="1">
        <v>45743</v>
      </c>
      <c r="C1032" t="s">
        <v>21</v>
      </c>
      <c r="D1032" t="s">
        <v>18</v>
      </c>
      <c r="E1032">
        <v>480</v>
      </c>
      <c r="F1032">
        <v>157</v>
      </c>
      <c r="G1032">
        <v>1125</v>
      </c>
      <c r="H1032">
        <v>1065</v>
      </c>
      <c r="I1032">
        <v>60</v>
      </c>
      <c r="J1032">
        <v>13.2</v>
      </c>
      <c r="K1032">
        <v>323</v>
      </c>
      <c r="L1032">
        <v>0.67291666666666672</v>
      </c>
      <c r="M1032">
        <v>0.76625386996904021</v>
      </c>
      <c r="N1032">
        <v>0.94666666666666666</v>
      </c>
      <c r="O1032">
        <v>0.48812499999999998</v>
      </c>
    </row>
    <row r="1033" spans="1:15" x14ac:dyDescent="0.3">
      <c r="A1033">
        <v>1032</v>
      </c>
      <c r="B1033" s="1">
        <v>45743</v>
      </c>
      <c r="C1033" t="s">
        <v>21</v>
      </c>
      <c r="D1033" t="s">
        <v>19</v>
      </c>
      <c r="E1033">
        <v>480</v>
      </c>
      <c r="F1033">
        <v>68</v>
      </c>
      <c r="G1033">
        <v>1514</v>
      </c>
      <c r="H1033">
        <v>1447</v>
      </c>
      <c r="I1033">
        <v>67</v>
      </c>
      <c r="J1033">
        <v>13.8</v>
      </c>
      <c r="K1033">
        <v>412</v>
      </c>
      <c r="L1033">
        <v>0.85833333333333328</v>
      </c>
      <c r="M1033">
        <v>0.84519417475728154</v>
      </c>
      <c r="N1033">
        <v>0.95574636723910167</v>
      </c>
      <c r="O1033">
        <v>0.6933541666666666</v>
      </c>
    </row>
    <row r="1034" spans="1:15" x14ac:dyDescent="0.3">
      <c r="A1034">
        <v>1033</v>
      </c>
      <c r="B1034" s="1">
        <v>45744</v>
      </c>
      <c r="C1034" t="s">
        <v>15</v>
      </c>
      <c r="D1034" t="s">
        <v>16</v>
      </c>
      <c r="E1034">
        <v>480</v>
      </c>
      <c r="F1034">
        <v>83</v>
      </c>
      <c r="G1034">
        <v>1783</v>
      </c>
      <c r="H1034">
        <v>1734</v>
      </c>
      <c r="I1034">
        <v>49</v>
      </c>
      <c r="J1034">
        <v>12</v>
      </c>
      <c r="K1034">
        <v>397</v>
      </c>
      <c r="L1034">
        <v>0.82708333333333328</v>
      </c>
      <c r="M1034">
        <v>0.89823677581863981</v>
      </c>
      <c r="N1034">
        <v>0.97251822770611329</v>
      </c>
      <c r="O1034">
        <v>0.72250000000000003</v>
      </c>
    </row>
    <row r="1035" spans="1:15" x14ac:dyDescent="0.3">
      <c r="A1035">
        <v>1034</v>
      </c>
      <c r="B1035" s="1">
        <v>45744</v>
      </c>
      <c r="C1035" t="s">
        <v>15</v>
      </c>
      <c r="D1035" t="s">
        <v>17</v>
      </c>
      <c r="E1035">
        <v>480</v>
      </c>
      <c r="F1035">
        <v>0</v>
      </c>
      <c r="G1035">
        <v>1730</v>
      </c>
      <c r="H1035">
        <v>1665</v>
      </c>
      <c r="I1035">
        <v>65</v>
      </c>
      <c r="J1035">
        <v>12.6</v>
      </c>
      <c r="K1035">
        <v>480</v>
      </c>
      <c r="L1035">
        <v>1</v>
      </c>
      <c r="M1035">
        <v>0.75687499999999996</v>
      </c>
      <c r="N1035">
        <v>0.96242774566473988</v>
      </c>
      <c r="O1035">
        <v>0.72843749999999996</v>
      </c>
    </row>
    <row r="1036" spans="1:15" x14ac:dyDescent="0.3">
      <c r="A1036">
        <v>1035</v>
      </c>
      <c r="B1036" s="1">
        <v>45744</v>
      </c>
      <c r="C1036" t="s">
        <v>15</v>
      </c>
      <c r="D1036" t="s">
        <v>18</v>
      </c>
      <c r="E1036">
        <v>480</v>
      </c>
      <c r="F1036">
        <v>25</v>
      </c>
      <c r="G1036">
        <v>1989</v>
      </c>
      <c r="H1036">
        <v>1927</v>
      </c>
      <c r="I1036">
        <v>62</v>
      </c>
      <c r="J1036">
        <v>13.2</v>
      </c>
      <c r="K1036">
        <v>455</v>
      </c>
      <c r="L1036">
        <v>0.94791666666666663</v>
      </c>
      <c r="M1036">
        <v>0.96171428571428563</v>
      </c>
      <c r="N1036">
        <v>0.96882855706385118</v>
      </c>
      <c r="O1036">
        <v>0.88320833333333326</v>
      </c>
    </row>
    <row r="1037" spans="1:15" x14ac:dyDescent="0.3">
      <c r="A1037">
        <v>1036</v>
      </c>
      <c r="B1037" s="1">
        <v>45744</v>
      </c>
      <c r="C1037" t="s">
        <v>15</v>
      </c>
      <c r="D1037" t="s">
        <v>19</v>
      </c>
      <c r="E1037">
        <v>480</v>
      </c>
      <c r="F1037">
        <v>129</v>
      </c>
      <c r="G1037">
        <v>1334</v>
      </c>
      <c r="H1037">
        <v>1286</v>
      </c>
      <c r="I1037">
        <v>48</v>
      </c>
      <c r="J1037">
        <v>13.8</v>
      </c>
      <c r="K1037">
        <v>351</v>
      </c>
      <c r="L1037">
        <v>0.73124999999999996</v>
      </c>
      <c r="M1037">
        <v>0.87413105413105419</v>
      </c>
      <c r="N1037">
        <v>0.9640179910044977</v>
      </c>
      <c r="O1037">
        <v>0.61620833333333336</v>
      </c>
    </row>
    <row r="1038" spans="1:15" x14ac:dyDescent="0.3">
      <c r="A1038">
        <v>1037</v>
      </c>
      <c r="B1038" s="1">
        <v>45744</v>
      </c>
      <c r="C1038" t="s">
        <v>20</v>
      </c>
      <c r="D1038" t="s">
        <v>16</v>
      </c>
      <c r="E1038">
        <v>480</v>
      </c>
      <c r="F1038">
        <v>0</v>
      </c>
      <c r="G1038">
        <v>1800</v>
      </c>
      <c r="H1038">
        <v>1710</v>
      </c>
      <c r="I1038">
        <v>90</v>
      </c>
      <c r="J1038">
        <v>12</v>
      </c>
      <c r="K1038">
        <v>480</v>
      </c>
      <c r="L1038">
        <v>1</v>
      </c>
      <c r="M1038">
        <v>0.75</v>
      </c>
      <c r="N1038">
        <v>0.95</v>
      </c>
      <c r="O1038">
        <v>0.71249999999999991</v>
      </c>
    </row>
    <row r="1039" spans="1:15" x14ac:dyDescent="0.3">
      <c r="A1039">
        <v>1038</v>
      </c>
      <c r="B1039" s="1">
        <v>45744</v>
      </c>
      <c r="C1039" t="s">
        <v>20</v>
      </c>
      <c r="D1039" t="s">
        <v>17</v>
      </c>
      <c r="E1039">
        <v>480</v>
      </c>
      <c r="F1039">
        <v>0</v>
      </c>
      <c r="G1039">
        <v>2047</v>
      </c>
      <c r="H1039">
        <v>1933</v>
      </c>
      <c r="I1039">
        <v>114</v>
      </c>
      <c r="J1039">
        <v>12.6</v>
      </c>
      <c r="K1039">
        <v>480</v>
      </c>
      <c r="L1039">
        <v>1</v>
      </c>
      <c r="M1039">
        <v>0.89556250000000004</v>
      </c>
      <c r="N1039">
        <v>0.94430874450415236</v>
      </c>
      <c r="O1039">
        <v>0.84568750000000004</v>
      </c>
    </row>
    <row r="1040" spans="1:15" x14ac:dyDescent="0.3">
      <c r="A1040">
        <v>1039</v>
      </c>
      <c r="B1040" s="1">
        <v>45744</v>
      </c>
      <c r="C1040" t="s">
        <v>20</v>
      </c>
      <c r="D1040" t="s">
        <v>18</v>
      </c>
      <c r="E1040">
        <v>480</v>
      </c>
      <c r="F1040">
        <v>0</v>
      </c>
      <c r="G1040">
        <v>1970</v>
      </c>
      <c r="H1040">
        <v>1943</v>
      </c>
      <c r="I1040">
        <v>27</v>
      </c>
      <c r="J1040">
        <v>13.2</v>
      </c>
      <c r="K1040">
        <v>480</v>
      </c>
      <c r="L1040">
        <v>1</v>
      </c>
      <c r="M1040">
        <v>0.9029166666666667</v>
      </c>
      <c r="N1040">
        <v>0.98629441624365477</v>
      </c>
      <c r="O1040">
        <v>0.89054166666666668</v>
      </c>
    </row>
    <row r="1041" spans="1:15" x14ac:dyDescent="0.3">
      <c r="A1041">
        <v>1040</v>
      </c>
      <c r="B1041" s="1">
        <v>45744</v>
      </c>
      <c r="C1041" t="s">
        <v>20</v>
      </c>
      <c r="D1041" t="s">
        <v>19</v>
      </c>
      <c r="E1041">
        <v>480</v>
      </c>
      <c r="F1041">
        <v>10</v>
      </c>
      <c r="G1041">
        <v>1750</v>
      </c>
      <c r="H1041">
        <v>1681</v>
      </c>
      <c r="I1041">
        <v>69</v>
      </c>
      <c r="J1041">
        <v>13.8</v>
      </c>
      <c r="K1041">
        <v>470</v>
      </c>
      <c r="L1041">
        <v>0.97916666666666663</v>
      </c>
      <c r="M1041">
        <v>0.8563829787234043</v>
      </c>
      <c r="N1041">
        <v>0.96057142857142852</v>
      </c>
      <c r="O1041">
        <v>0.80547916666666663</v>
      </c>
    </row>
    <row r="1042" spans="1:15" x14ac:dyDescent="0.3">
      <c r="A1042">
        <v>1041</v>
      </c>
      <c r="B1042" s="1">
        <v>45744</v>
      </c>
      <c r="C1042" t="s">
        <v>21</v>
      </c>
      <c r="D1042" t="s">
        <v>16</v>
      </c>
      <c r="E1042">
        <v>480</v>
      </c>
      <c r="F1042">
        <v>0</v>
      </c>
      <c r="G1042">
        <v>2209</v>
      </c>
      <c r="H1042">
        <v>2154</v>
      </c>
      <c r="I1042">
        <v>55</v>
      </c>
      <c r="J1042">
        <v>12</v>
      </c>
      <c r="K1042">
        <v>480</v>
      </c>
      <c r="L1042">
        <v>1</v>
      </c>
      <c r="M1042">
        <v>0.92041666666666666</v>
      </c>
      <c r="N1042">
        <v>0.97510185604345856</v>
      </c>
      <c r="O1042">
        <v>0.89749999999999996</v>
      </c>
    </row>
    <row r="1043" spans="1:15" x14ac:dyDescent="0.3">
      <c r="A1043">
        <v>1042</v>
      </c>
      <c r="B1043" s="1">
        <v>45744</v>
      </c>
      <c r="C1043" t="s">
        <v>21</v>
      </c>
      <c r="D1043" t="s">
        <v>17</v>
      </c>
      <c r="E1043">
        <v>480</v>
      </c>
      <c r="F1043">
        <v>5</v>
      </c>
      <c r="G1043">
        <v>1917</v>
      </c>
      <c r="H1043">
        <v>1875</v>
      </c>
      <c r="I1043">
        <v>42</v>
      </c>
      <c r="J1043">
        <v>12.6</v>
      </c>
      <c r="K1043">
        <v>475</v>
      </c>
      <c r="L1043">
        <v>0.98958333333333337</v>
      </c>
      <c r="M1043">
        <v>0.84751578947368422</v>
      </c>
      <c r="N1043">
        <v>0.97809076682316121</v>
      </c>
      <c r="O1043">
        <v>0.8203125</v>
      </c>
    </row>
    <row r="1044" spans="1:15" x14ac:dyDescent="0.3">
      <c r="A1044">
        <v>1043</v>
      </c>
      <c r="B1044" s="1">
        <v>45744</v>
      </c>
      <c r="C1044" t="s">
        <v>21</v>
      </c>
      <c r="D1044" t="s">
        <v>18</v>
      </c>
      <c r="E1044">
        <v>480</v>
      </c>
      <c r="F1044">
        <v>55</v>
      </c>
      <c r="G1044">
        <v>1536</v>
      </c>
      <c r="H1044">
        <v>1474</v>
      </c>
      <c r="I1044">
        <v>62</v>
      </c>
      <c r="J1044">
        <v>13.2</v>
      </c>
      <c r="K1044">
        <v>425</v>
      </c>
      <c r="L1044">
        <v>0.88541666666666663</v>
      </c>
      <c r="M1044">
        <v>0.79510588235294111</v>
      </c>
      <c r="N1044">
        <v>0.95963541666666663</v>
      </c>
      <c r="O1044">
        <v>0.67558333333333331</v>
      </c>
    </row>
    <row r="1045" spans="1:15" x14ac:dyDescent="0.3">
      <c r="A1045">
        <v>1044</v>
      </c>
      <c r="B1045" s="1">
        <v>45744</v>
      </c>
      <c r="C1045" t="s">
        <v>21</v>
      </c>
      <c r="D1045" t="s">
        <v>19</v>
      </c>
      <c r="E1045">
        <v>480</v>
      </c>
      <c r="F1045">
        <v>0</v>
      </c>
      <c r="G1045">
        <v>1753</v>
      </c>
      <c r="H1045">
        <v>1673</v>
      </c>
      <c r="I1045">
        <v>80</v>
      </c>
      <c r="J1045">
        <v>13.8</v>
      </c>
      <c r="K1045">
        <v>480</v>
      </c>
      <c r="L1045">
        <v>1</v>
      </c>
      <c r="M1045">
        <v>0.83997916666666672</v>
      </c>
      <c r="N1045">
        <v>0.9543639475185397</v>
      </c>
      <c r="O1045">
        <v>0.80164583333333339</v>
      </c>
    </row>
    <row r="1046" spans="1:15" x14ac:dyDescent="0.3">
      <c r="A1046">
        <v>1045</v>
      </c>
      <c r="B1046" s="1">
        <v>45745</v>
      </c>
      <c r="C1046" t="s">
        <v>15</v>
      </c>
      <c r="D1046" t="s">
        <v>16</v>
      </c>
      <c r="E1046">
        <v>480</v>
      </c>
      <c r="F1046">
        <v>26</v>
      </c>
      <c r="G1046">
        <v>2072</v>
      </c>
      <c r="H1046">
        <v>2026</v>
      </c>
      <c r="I1046">
        <v>46</v>
      </c>
      <c r="J1046">
        <v>12</v>
      </c>
      <c r="K1046">
        <v>454</v>
      </c>
      <c r="L1046">
        <v>0.9458333333333333</v>
      </c>
      <c r="M1046">
        <v>0.91277533039647574</v>
      </c>
      <c r="N1046">
        <v>0.97779922779922779</v>
      </c>
      <c r="O1046">
        <v>0.84416666666666662</v>
      </c>
    </row>
    <row r="1047" spans="1:15" x14ac:dyDescent="0.3">
      <c r="A1047">
        <v>1046</v>
      </c>
      <c r="B1047" s="1">
        <v>45745</v>
      </c>
      <c r="C1047" t="s">
        <v>15</v>
      </c>
      <c r="D1047" t="s">
        <v>17</v>
      </c>
      <c r="E1047">
        <v>480</v>
      </c>
      <c r="F1047">
        <v>18</v>
      </c>
      <c r="G1047">
        <v>2056</v>
      </c>
      <c r="H1047">
        <v>1944</v>
      </c>
      <c r="I1047">
        <v>112</v>
      </c>
      <c r="J1047">
        <v>12.6</v>
      </c>
      <c r="K1047">
        <v>462</v>
      </c>
      <c r="L1047">
        <v>0.96250000000000002</v>
      </c>
      <c r="M1047">
        <v>0.93454545454545446</v>
      </c>
      <c r="N1047">
        <v>0.94552529182879375</v>
      </c>
      <c r="O1047">
        <v>0.85049999999999992</v>
      </c>
    </row>
    <row r="1048" spans="1:15" x14ac:dyDescent="0.3">
      <c r="A1048">
        <v>1047</v>
      </c>
      <c r="B1048" s="1">
        <v>45745</v>
      </c>
      <c r="C1048" t="s">
        <v>15</v>
      </c>
      <c r="D1048" t="s">
        <v>18</v>
      </c>
      <c r="E1048">
        <v>480</v>
      </c>
      <c r="F1048">
        <v>45</v>
      </c>
      <c r="G1048">
        <v>1638</v>
      </c>
      <c r="H1048">
        <v>1546</v>
      </c>
      <c r="I1048">
        <v>92</v>
      </c>
      <c r="J1048">
        <v>13.2</v>
      </c>
      <c r="K1048">
        <v>435</v>
      </c>
      <c r="L1048">
        <v>0.90625</v>
      </c>
      <c r="M1048">
        <v>0.8284137931034482</v>
      </c>
      <c r="N1048">
        <v>0.94383394383394381</v>
      </c>
      <c r="O1048">
        <v>0.70858333333333323</v>
      </c>
    </row>
    <row r="1049" spans="1:15" x14ac:dyDescent="0.3">
      <c r="A1049">
        <v>1048</v>
      </c>
      <c r="B1049" s="1">
        <v>45745</v>
      </c>
      <c r="C1049" t="s">
        <v>15</v>
      </c>
      <c r="D1049" t="s">
        <v>19</v>
      </c>
      <c r="E1049">
        <v>480</v>
      </c>
      <c r="F1049">
        <v>0</v>
      </c>
      <c r="G1049">
        <v>1844</v>
      </c>
      <c r="H1049">
        <v>1775</v>
      </c>
      <c r="I1049">
        <v>69</v>
      </c>
      <c r="J1049">
        <v>13.8</v>
      </c>
      <c r="K1049">
        <v>480</v>
      </c>
      <c r="L1049">
        <v>1</v>
      </c>
      <c r="M1049">
        <v>0.88358333333333339</v>
      </c>
      <c r="N1049">
        <v>0.96258134490238612</v>
      </c>
      <c r="O1049">
        <v>0.85052083333333339</v>
      </c>
    </row>
    <row r="1050" spans="1:15" x14ac:dyDescent="0.3">
      <c r="A1050">
        <v>1049</v>
      </c>
      <c r="B1050" s="1">
        <v>45745</v>
      </c>
      <c r="C1050" t="s">
        <v>20</v>
      </c>
      <c r="D1050" t="s">
        <v>16</v>
      </c>
      <c r="E1050">
        <v>480</v>
      </c>
      <c r="F1050">
        <v>0</v>
      </c>
      <c r="G1050">
        <v>2036</v>
      </c>
      <c r="H1050">
        <v>1950</v>
      </c>
      <c r="I1050">
        <v>86</v>
      </c>
      <c r="J1050">
        <v>12</v>
      </c>
      <c r="K1050">
        <v>480</v>
      </c>
      <c r="L1050">
        <v>1</v>
      </c>
      <c r="M1050">
        <v>0.84833333333333338</v>
      </c>
      <c r="N1050">
        <v>0.95776031434184672</v>
      </c>
      <c r="O1050">
        <v>0.8125</v>
      </c>
    </row>
    <row r="1051" spans="1:15" x14ac:dyDescent="0.3">
      <c r="A1051">
        <v>1050</v>
      </c>
      <c r="B1051" s="1">
        <v>45745</v>
      </c>
      <c r="C1051" t="s">
        <v>20</v>
      </c>
      <c r="D1051" t="s">
        <v>17</v>
      </c>
      <c r="E1051">
        <v>480</v>
      </c>
      <c r="F1051">
        <v>10</v>
      </c>
      <c r="G1051">
        <v>1798</v>
      </c>
      <c r="H1051">
        <v>1757</v>
      </c>
      <c r="I1051">
        <v>41</v>
      </c>
      <c r="J1051">
        <v>12.6</v>
      </c>
      <c r="K1051">
        <v>470</v>
      </c>
      <c r="L1051">
        <v>0.97916666666666663</v>
      </c>
      <c r="M1051">
        <v>0.80336170212765956</v>
      </c>
      <c r="N1051">
        <v>0.97719688542825367</v>
      </c>
      <c r="O1051">
        <v>0.76868749999999997</v>
      </c>
    </row>
    <row r="1052" spans="1:15" x14ac:dyDescent="0.3">
      <c r="A1052">
        <v>1051</v>
      </c>
      <c r="B1052" s="1">
        <v>45745</v>
      </c>
      <c r="C1052" t="s">
        <v>20</v>
      </c>
      <c r="D1052" t="s">
        <v>18</v>
      </c>
      <c r="E1052">
        <v>480</v>
      </c>
      <c r="F1052">
        <v>0</v>
      </c>
      <c r="G1052">
        <v>1698</v>
      </c>
      <c r="H1052">
        <v>1598</v>
      </c>
      <c r="I1052">
        <v>100</v>
      </c>
      <c r="J1052">
        <v>13.2</v>
      </c>
      <c r="K1052">
        <v>480</v>
      </c>
      <c r="L1052">
        <v>1</v>
      </c>
      <c r="M1052">
        <v>0.77825</v>
      </c>
      <c r="N1052">
        <v>0.94110718492343937</v>
      </c>
      <c r="O1052">
        <v>0.73241666666666672</v>
      </c>
    </row>
    <row r="1053" spans="1:15" x14ac:dyDescent="0.3">
      <c r="A1053">
        <v>1052</v>
      </c>
      <c r="B1053" s="1">
        <v>45745</v>
      </c>
      <c r="C1053" t="s">
        <v>20</v>
      </c>
      <c r="D1053" t="s">
        <v>19</v>
      </c>
      <c r="E1053">
        <v>480</v>
      </c>
      <c r="F1053">
        <v>57</v>
      </c>
      <c r="G1053">
        <v>1740</v>
      </c>
      <c r="H1053">
        <v>1701</v>
      </c>
      <c r="I1053">
        <v>39</v>
      </c>
      <c r="J1053">
        <v>13.8</v>
      </c>
      <c r="K1053">
        <v>423</v>
      </c>
      <c r="L1053">
        <v>0.88124999999999998</v>
      </c>
      <c r="M1053">
        <v>0.94609929078014188</v>
      </c>
      <c r="N1053">
        <v>0.97758620689655173</v>
      </c>
      <c r="O1053">
        <v>0.81506250000000002</v>
      </c>
    </row>
    <row r="1054" spans="1:15" x14ac:dyDescent="0.3">
      <c r="A1054">
        <v>1053</v>
      </c>
      <c r="B1054" s="1">
        <v>45745</v>
      </c>
      <c r="C1054" t="s">
        <v>21</v>
      </c>
      <c r="D1054" t="s">
        <v>16</v>
      </c>
      <c r="E1054">
        <v>480</v>
      </c>
      <c r="F1054">
        <v>0</v>
      </c>
      <c r="G1054">
        <v>1923</v>
      </c>
      <c r="H1054">
        <v>1899</v>
      </c>
      <c r="I1054">
        <v>24</v>
      </c>
      <c r="J1054">
        <v>12</v>
      </c>
      <c r="K1054">
        <v>480</v>
      </c>
      <c r="L1054">
        <v>1</v>
      </c>
      <c r="M1054">
        <v>0.80125000000000002</v>
      </c>
      <c r="N1054">
        <v>0.98751950078003126</v>
      </c>
      <c r="O1054">
        <v>0.79125000000000001</v>
      </c>
    </row>
    <row r="1055" spans="1:15" x14ac:dyDescent="0.3">
      <c r="A1055">
        <v>1054</v>
      </c>
      <c r="B1055" s="1">
        <v>45745</v>
      </c>
      <c r="C1055" t="s">
        <v>21</v>
      </c>
      <c r="D1055" t="s">
        <v>17</v>
      </c>
      <c r="E1055">
        <v>480</v>
      </c>
      <c r="F1055">
        <v>0</v>
      </c>
      <c r="G1055">
        <v>1941</v>
      </c>
      <c r="H1055">
        <v>1900</v>
      </c>
      <c r="I1055">
        <v>41</v>
      </c>
      <c r="J1055">
        <v>12.6</v>
      </c>
      <c r="K1055">
        <v>480</v>
      </c>
      <c r="L1055">
        <v>1</v>
      </c>
      <c r="M1055">
        <v>0.84918749999999998</v>
      </c>
      <c r="N1055">
        <v>0.9788768675940237</v>
      </c>
      <c r="O1055">
        <v>0.83124999999999993</v>
      </c>
    </row>
    <row r="1056" spans="1:15" x14ac:dyDescent="0.3">
      <c r="A1056">
        <v>1055</v>
      </c>
      <c r="B1056" s="1">
        <v>45745</v>
      </c>
      <c r="C1056" t="s">
        <v>21</v>
      </c>
      <c r="D1056" t="s">
        <v>18</v>
      </c>
      <c r="E1056">
        <v>480</v>
      </c>
      <c r="F1056">
        <v>141</v>
      </c>
      <c r="G1056">
        <v>1356</v>
      </c>
      <c r="H1056">
        <v>1319</v>
      </c>
      <c r="I1056">
        <v>37</v>
      </c>
      <c r="J1056">
        <v>13.2</v>
      </c>
      <c r="K1056">
        <v>339</v>
      </c>
      <c r="L1056">
        <v>0.70625000000000004</v>
      </c>
      <c r="M1056">
        <v>0.88</v>
      </c>
      <c r="N1056">
        <v>0.97271386430678464</v>
      </c>
      <c r="O1056">
        <v>0.60454166666666675</v>
      </c>
    </row>
    <row r="1057" spans="1:15" x14ac:dyDescent="0.3">
      <c r="A1057">
        <v>1056</v>
      </c>
      <c r="B1057" s="1">
        <v>45745</v>
      </c>
      <c r="C1057" t="s">
        <v>21</v>
      </c>
      <c r="D1057" t="s">
        <v>19</v>
      </c>
      <c r="E1057">
        <v>480</v>
      </c>
      <c r="F1057">
        <v>18</v>
      </c>
      <c r="G1057">
        <v>1902</v>
      </c>
      <c r="H1057">
        <v>1794</v>
      </c>
      <c r="I1057">
        <v>108</v>
      </c>
      <c r="J1057">
        <v>13.8</v>
      </c>
      <c r="K1057">
        <v>462</v>
      </c>
      <c r="L1057">
        <v>0.96250000000000002</v>
      </c>
      <c r="M1057">
        <v>0.94688311688311699</v>
      </c>
      <c r="N1057">
        <v>0.94321766561514198</v>
      </c>
      <c r="O1057">
        <v>0.85962500000000019</v>
      </c>
    </row>
    <row r="1058" spans="1:15" x14ac:dyDescent="0.3">
      <c r="A1058">
        <v>1057</v>
      </c>
      <c r="B1058" s="1">
        <v>45746</v>
      </c>
      <c r="C1058" t="s">
        <v>15</v>
      </c>
      <c r="D1058" t="s">
        <v>16</v>
      </c>
      <c r="E1058">
        <v>480</v>
      </c>
      <c r="F1058">
        <v>10</v>
      </c>
      <c r="G1058">
        <v>1985</v>
      </c>
      <c r="H1058">
        <v>1945</v>
      </c>
      <c r="I1058">
        <v>40</v>
      </c>
      <c r="J1058">
        <v>12</v>
      </c>
      <c r="K1058">
        <v>470</v>
      </c>
      <c r="L1058">
        <v>0.97916666666666663</v>
      </c>
      <c r="M1058">
        <v>0.84468085106382984</v>
      </c>
      <c r="N1058">
        <v>0.97984886649874059</v>
      </c>
      <c r="O1058">
        <v>0.81041666666666679</v>
      </c>
    </row>
    <row r="1059" spans="1:15" x14ac:dyDescent="0.3">
      <c r="A1059">
        <v>1058</v>
      </c>
      <c r="B1059" s="1">
        <v>45746</v>
      </c>
      <c r="C1059" t="s">
        <v>15</v>
      </c>
      <c r="D1059" t="s">
        <v>17</v>
      </c>
      <c r="E1059">
        <v>480</v>
      </c>
      <c r="F1059">
        <v>18</v>
      </c>
      <c r="G1059">
        <v>2000</v>
      </c>
      <c r="H1059">
        <v>1942</v>
      </c>
      <c r="I1059">
        <v>58</v>
      </c>
      <c r="J1059">
        <v>12.6</v>
      </c>
      <c r="K1059">
        <v>462</v>
      </c>
      <c r="L1059">
        <v>0.96250000000000002</v>
      </c>
      <c r="M1059">
        <v>0.90909090909090906</v>
      </c>
      <c r="N1059">
        <v>0.97099999999999997</v>
      </c>
      <c r="O1059">
        <v>0.84962499999999996</v>
      </c>
    </row>
    <row r="1060" spans="1:15" x14ac:dyDescent="0.3">
      <c r="A1060">
        <v>1059</v>
      </c>
      <c r="B1060" s="1">
        <v>45746</v>
      </c>
      <c r="C1060" t="s">
        <v>15</v>
      </c>
      <c r="D1060" t="s">
        <v>18</v>
      </c>
      <c r="E1060">
        <v>480</v>
      </c>
      <c r="F1060">
        <v>42</v>
      </c>
      <c r="G1060">
        <v>1874</v>
      </c>
      <c r="H1060">
        <v>1809</v>
      </c>
      <c r="I1060">
        <v>65</v>
      </c>
      <c r="J1060">
        <v>13.2</v>
      </c>
      <c r="K1060">
        <v>438</v>
      </c>
      <c r="L1060">
        <v>0.91249999999999998</v>
      </c>
      <c r="M1060">
        <v>0.94127853881278534</v>
      </c>
      <c r="N1060">
        <v>0.9653148345784418</v>
      </c>
      <c r="O1060">
        <v>0.82912499999999989</v>
      </c>
    </row>
    <row r="1061" spans="1:15" x14ac:dyDescent="0.3">
      <c r="A1061">
        <v>1060</v>
      </c>
      <c r="B1061" s="1">
        <v>45746</v>
      </c>
      <c r="C1061" t="s">
        <v>15</v>
      </c>
      <c r="D1061" t="s">
        <v>19</v>
      </c>
      <c r="E1061">
        <v>480</v>
      </c>
      <c r="F1061">
        <v>0</v>
      </c>
      <c r="G1061">
        <v>1571</v>
      </c>
      <c r="H1061">
        <v>1532</v>
      </c>
      <c r="I1061">
        <v>39</v>
      </c>
      <c r="J1061">
        <v>13.8</v>
      </c>
      <c r="K1061">
        <v>480</v>
      </c>
      <c r="L1061">
        <v>1</v>
      </c>
      <c r="M1061">
        <v>0.75277083333333339</v>
      </c>
      <c r="N1061">
        <v>0.97517504774029284</v>
      </c>
      <c r="O1061">
        <v>0.73408333333333342</v>
      </c>
    </row>
    <row r="1062" spans="1:15" x14ac:dyDescent="0.3">
      <c r="A1062">
        <v>1061</v>
      </c>
      <c r="B1062" s="1">
        <v>45746</v>
      </c>
      <c r="C1062" t="s">
        <v>20</v>
      </c>
      <c r="D1062" t="s">
        <v>16</v>
      </c>
      <c r="E1062">
        <v>480</v>
      </c>
      <c r="F1062">
        <v>15</v>
      </c>
      <c r="G1062">
        <v>1816</v>
      </c>
      <c r="H1062">
        <v>1780</v>
      </c>
      <c r="I1062">
        <v>36</v>
      </c>
      <c r="J1062">
        <v>12</v>
      </c>
      <c r="K1062">
        <v>465</v>
      </c>
      <c r="L1062">
        <v>0.96875</v>
      </c>
      <c r="M1062">
        <v>0.78107526881720435</v>
      </c>
      <c r="N1062">
        <v>0.98017621145374445</v>
      </c>
      <c r="O1062">
        <v>0.7416666666666667</v>
      </c>
    </row>
    <row r="1063" spans="1:15" x14ac:dyDescent="0.3">
      <c r="A1063">
        <v>1062</v>
      </c>
      <c r="B1063" s="1">
        <v>45746</v>
      </c>
      <c r="C1063" t="s">
        <v>20</v>
      </c>
      <c r="D1063" t="s">
        <v>17</v>
      </c>
      <c r="E1063">
        <v>480</v>
      </c>
      <c r="F1063">
        <v>0</v>
      </c>
      <c r="G1063">
        <v>1818</v>
      </c>
      <c r="H1063">
        <v>1799</v>
      </c>
      <c r="I1063">
        <v>19</v>
      </c>
      <c r="J1063">
        <v>12.6</v>
      </c>
      <c r="K1063">
        <v>480</v>
      </c>
      <c r="L1063">
        <v>1</v>
      </c>
      <c r="M1063">
        <v>0.79537499999999994</v>
      </c>
      <c r="N1063">
        <v>0.98954895489548955</v>
      </c>
      <c r="O1063">
        <v>0.7870625</v>
      </c>
    </row>
    <row r="1064" spans="1:15" x14ac:dyDescent="0.3">
      <c r="A1064">
        <v>1063</v>
      </c>
      <c r="B1064" s="1">
        <v>45746</v>
      </c>
      <c r="C1064" t="s">
        <v>20</v>
      </c>
      <c r="D1064" t="s">
        <v>18</v>
      </c>
      <c r="E1064">
        <v>480</v>
      </c>
      <c r="F1064">
        <v>12</v>
      </c>
      <c r="G1064">
        <v>1764</v>
      </c>
      <c r="H1064">
        <v>1715</v>
      </c>
      <c r="I1064">
        <v>49</v>
      </c>
      <c r="J1064">
        <v>13.2</v>
      </c>
      <c r="K1064">
        <v>468</v>
      </c>
      <c r="L1064">
        <v>0.97499999999999998</v>
      </c>
      <c r="M1064">
        <v>0.82923076923076922</v>
      </c>
      <c r="N1064">
        <v>0.97222222222222221</v>
      </c>
      <c r="O1064">
        <v>0.78604166666666664</v>
      </c>
    </row>
    <row r="1065" spans="1:15" x14ac:dyDescent="0.3">
      <c r="A1065">
        <v>1064</v>
      </c>
      <c r="B1065" s="1">
        <v>45746</v>
      </c>
      <c r="C1065" t="s">
        <v>20</v>
      </c>
      <c r="D1065" t="s">
        <v>19</v>
      </c>
      <c r="E1065">
        <v>480</v>
      </c>
      <c r="F1065">
        <v>0</v>
      </c>
      <c r="G1065">
        <v>1968</v>
      </c>
      <c r="H1065">
        <v>1946</v>
      </c>
      <c r="I1065">
        <v>22</v>
      </c>
      <c r="J1065">
        <v>13.8</v>
      </c>
      <c r="K1065">
        <v>480</v>
      </c>
      <c r="L1065">
        <v>1</v>
      </c>
      <c r="M1065">
        <v>0.94300000000000006</v>
      </c>
      <c r="N1065">
        <v>0.98882113821138207</v>
      </c>
      <c r="O1065">
        <v>0.93245833333333339</v>
      </c>
    </row>
    <row r="1066" spans="1:15" x14ac:dyDescent="0.3">
      <c r="A1066">
        <v>1065</v>
      </c>
      <c r="B1066" s="1">
        <v>45746</v>
      </c>
      <c r="C1066" t="s">
        <v>21</v>
      </c>
      <c r="D1066" t="s">
        <v>16</v>
      </c>
      <c r="E1066">
        <v>480</v>
      </c>
      <c r="F1066">
        <v>45</v>
      </c>
      <c r="G1066">
        <v>2042</v>
      </c>
      <c r="H1066">
        <v>2001</v>
      </c>
      <c r="I1066">
        <v>41</v>
      </c>
      <c r="J1066">
        <v>12</v>
      </c>
      <c r="K1066">
        <v>435</v>
      </c>
      <c r="L1066">
        <v>0.90625</v>
      </c>
      <c r="M1066">
        <v>0.93885057471264366</v>
      </c>
      <c r="N1066">
        <v>0.97992164544564153</v>
      </c>
      <c r="O1066">
        <v>0.83374999999999999</v>
      </c>
    </row>
    <row r="1067" spans="1:15" x14ac:dyDescent="0.3">
      <c r="A1067">
        <v>1066</v>
      </c>
      <c r="B1067" s="1">
        <v>45746</v>
      </c>
      <c r="C1067" t="s">
        <v>21</v>
      </c>
      <c r="D1067" t="s">
        <v>17</v>
      </c>
      <c r="E1067">
        <v>480</v>
      </c>
      <c r="F1067">
        <v>5</v>
      </c>
      <c r="G1067">
        <v>1958</v>
      </c>
      <c r="H1067">
        <v>1860</v>
      </c>
      <c r="I1067">
        <v>98</v>
      </c>
      <c r="J1067">
        <v>12.6</v>
      </c>
      <c r="K1067">
        <v>475</v>
      </c>
      <c r="L1067">
        <v>0.98958333333333337</v>
      </c>
      <c r="M1067">
        <v>0.86564210526315788</v>
      </c>
      <c r="N1067">
        <v>0.94994892747701731</v>
      </c>
      <c r="O1067">
        <v>0.81374999999999997</v>
      </c>
    </row>
    <row r="1068" spans="1:15" x14ac:dyDescent="0.3">
      <c r="A1068">
        <v>1067</v>
      </c>
      <c r="B1068" s="1">
        <v>45746</v>
      </c>
      <c r="C1068" t="s">
        <v>21</v>
      </c>
      <c r="D1068" t="s">
        <v>18</v>
      </c>
      <c r="E1068">
        <v>480</v>
      </c>
      <c r="F1068">
        <v>18</v>
      </c>
      <c r="G1068">
        <v>1811</v>
      </c>
      <c r="H1068">
        <v>1770</v>
      </c>
      <c r="I1068">
        <v>41</v>
      </c>
      <c r="J1068">
        <v>13.2</v>
      </c>
      <c r="K1068">
        <v>462</v>
      </c>
      <c r="L1068">
        <v>0.96250000000000002</v>
      </c>
      <c r="M1068">
        <v>0.86238095238095225</v>
      </c>
      <c r="N1068">
        <v>0.97736057426835998</v>
      </c>
      <c r="O1068">
        <v>0.81124999999999992</v>
      </c>
    </row>
    <row r="1069" spans="1:15" x14ac:dyDescent="0.3">
      <c r="A1069">
        <v>1068</v>
      </c>
      <c r="B1069" s="1">
        <v>45746</v>
      </c>
      <c r="C1069" t="s">
        <v>21</v>
      </c>
      <c r="D1069" t="s">
        <v>19</v>
      </c>
      <c r="E1069">
        <v>480</v>
      </c>
      <c r="F1069">
        <v>290</v>
      </c>
      <c r="G1069">
        <v>644</v>
      </c>
      <c r="H1069">
        <v>612</v>
      </c>
      <c r="I1069">
        <v>32</v>
      </c>
      <c r="J1069">
        <v>13.8</v>
      </c>
      <c r="K1069">
        <v>190</v>
      </c>
      <c r="L1069">
        <v>0.39583333333333331</v>
      </c>
      <c r="M1069">
        <v>0.77957894736842115</v>
      </c>
      <c r="N1069">
        <v>0.9503105590062112</v>
      </c>
      <c r="O1069">
        <v>0.29325000000000007</v>
      </c>
    </row>
    <row r="1070" spans="1:15" x14ac:dyDescent="0.3">
      <c r="A1070">
        <v>1069</v>
      </c>
      <c r="B1070" s="1">
        <v>45747</v>
      </c>
      <c r="C1070" t="s">
        <v>15</v>
      </c>
      <c r="D1070" t="s">
        <v>16</v>
      </c>
      <c r="E1070">
        <v>480</v>
      </c>
      <c r="F1070">
        <v>13</v>
      </c>
      <c r="G1070">
        <v>2039</v>
      </c>
      <c r="H1070">
        <v>2014</v>
      </c>
      <c r="I1070">
        <v>25</v>
      </c>
      <c r="J1070">
        <v>12</v>
      </c>
      <c r="K1070">
        <v>467</v>
      </c>
      <c r="L1070">
        <v>0.97291666666666665</v>
      </c>
      <c r="M1070">
        <v>0.87323340471092081</v>
      </c>
      <c r="N1070">
        <v>0.98773908778813146</v>
      </c>
      <c r="O1070">
        <v>0.83916666666666673</v>
      </c>
    </row>
    <row r="1071" spans="1:15" x14ac:dyDescent="0.3">
      <c r="A1071">
        <v>1070</v>
      </c>
      <c r="B1071" s="1">
        <v>45747</v>
      </c>
      <c r="C1071" t="s">
        <v>15</v>
      </c>
      <c r="D1071" t="s">
        <v>17</v>
      </c>
      <c r="E1071">
        <v>480</v>
      </c>
      <c r="F1071">
        <v>0</v>
      </c>
      <c r="G1071">
        <v>1842</v>
      </c>
      <c r="H1071">
        <v>1761</v>
      </c>
      <c r="I1071">
        <v>81</v>
      </c>
      <c r="J1071">
        <v>12.6</v>
      </c>
      <c r="K1071">
        <v>480</v>
      </c>
      <c r="L1071">
        <v>1</v>
      </c>
      <c r="M1071">
        <v>0.80587500000000001</v>
      </c>
      <c r="N1071">
        <v>0.9560260586319218</v>
      </c>
      <c r="O1071">
        <v>0.7704375</v>
      </c>
    </row>
    <row r="1072" spans="1:15" x14ac:dyDescent="0.3">
      <c r="A1072">
        <v>1071</v>
      </c>
      <c r="B1072" s="1">
        <v>45747</v>
      </c>
      <c r="C1072" t="s">
        <v>15</v>
      </c>
      <c r="D1072" t="s">
        <v>18</v>
      </c>
      <c r="E1072">
        <v>480</v>
      </c>
      <c r="F1072">
        <v>0</v>
      </c>
      <c r="G1072">
        <v>1693</v>
      </c>
      <c r="H1072">
        <v>1642</v>
      </c>
      <c r="I1072">
        <v>51</v>
      </c>
      <c r="J1072">
        <v>13.2</v>
      </c>
      <c r="K1072">
        <v>480</v>
      </c>
      <c r="L1072">
        <v>1</v>
      </c>
      <c r="M1072">
        <v>0.77595833333333331</v>
      </c>
      <c r="N1072">
        <v>0.96987595983461317</v>
      </c>
      <c r="O1072">
        <v>0.75258333333333338</v>
      </c>
    </row>
    <row r="1073" spans="1:15" x14ac:dyDescent="0.3">
      <c r="A1073">
        <v>1072</v>
      </c>
      <c r="B1073" s="1">
        <v>45747</v>
      </c>
      <c r="C1073" t="s">
        <v>15</v>
      </c>
      <c r="D1073" t="s">
        <v>19</v>
      </c>
      <c r="E1073">
        <v>480</v>
      </c>
      <c r="F1073">
        <v>212</v>
      </c>
      <c r="G1073">
        <v>1105</v>
      </c>
      <c r="H1073">
        <v>1052</v>
      </c>
      <c r="I1073">
        <v>53</v>
      </c>
      <c r="J1073">
        <v>13.8</v>
      </c>
      <c r="K1073">
        <v>268</v>
      </c>
      <c r="L1073">
        <v>0.55833333333333335</v>
      </c>
      <c r="M1073">
        <v>0.94832089552238807</v>
      </c>
      <c r="N1073">
        <v>0.95203619909502257</v>
      </c>
      <c r="O1073">
        <v>0.50408333333333333</v>
      </c>
    </row>
    <row r="1074" spans="1:15" x14ac:dyDescent="0.3">
      <c r="A1074">
        <v>1073</v>
      </c>
      <c r="B1074" s="1">
        <v>45747</v>
      </c>
      <c r="C1074" t="s">
        <v>20</v>
      </c>
      <c r="D1074" t="s">
        <v>16</v>
      </c>
      <c r="E1074">
        <v>480</v>
      </c>
      <c r="F1074">
        <v>0</v>
      </c>
      <c r="G1074">
        <v>2253</v>
      </c>
      <c r="H1074">
        <v>2144</v>
      </c>
      <c r="I1074">
        <v>109</v>
      </c>
      <c r="J1074">
        <v>12</v>
      </c>
      <c r="K1074">
        <v>480</v>
      </c>
      <c r="L1074">
        <v>1</v>
      </c>
      <c r="M1074">
        <v>0.93874999999999997</v>
      </c>
      <c r="N1074">
        <v>0.95162006213936978</v>
      </c>
      <c r="O1074">
        <v>0.89333333333333331</v>
      </c>
    </row>
    <row r="1075" spans="1:15" x14ac:dyDescent="0.3">
      <c r="A1075">
        <v>1074</v>
      </c>
      <c r="B1075" s="1">
        <v>45747</v>
      </c>
      <c r="C1075" t="s">
        <v>20</v>
      </c>
      <c r="D1075" t="s">
        <v>17</v>
      </c>
      <c r="E1075">
        <v>480</v>
      </c>
      <c r="F1075">
        <v>5</v>
      </c>
      <c r="G1075">
        <v>1961</v>
      </c>
      <c r="H1075">
        <v>1885</v>
      </c>
      <c r="I1075">
        <v>76</v>
      </c>
      <c r="J1075">
        <v>12.6</v>
      </c>
      <c r="K1075">
        <v>475</v>
      </c>
      <c r="L1075">
        <v>0.98958333333333337</v>
      </c>
      <c r="M1075">
        <v>0.8669684210526315</v>
      </c>
      <c r="N1075">
        <v>0.9612442631310556</v>
      </c>
      <c r="O1075">
        <v>0.82468749999999991</v>
      </c>
    </row>
    <row r="1076" spans="1:15" x14ac:dyDescent="0.3">
      <c r="A1076">
        <v>1075</v>
      </c>
      <c r="B1076" s="1">
        <v>45747</v>
      </c>
      <c r="C1076" t="s">
        <v>20</v>
      </c>
      <c r="D1076" t="s">
        <v>18</v>
      </c>
      <c r="E1076">
        <v>480</v>
      </c>
      <c r="F1076">
        <v>20</v>
      </c>
      <c r="G1076">
        <v>2001</v>
      </c>
      <c r="H1076">
        <v>1965</v>
      </c>
      <c r="I1076">
        <v>36</v>
      </c>
      <c r="J1076">
        <v>13.2</v>
      </c>
      <c r="K1076">
        <v>460</v>
      </c>
      <c r="L1076">
        <v>0.95833333333333337</v>
      </c>
      <c r="M1076">
        <v>0.95699999999999985</v>
      </c>
      <c r="N1076">
        <v>0.98200899550224885</v>
      </c>
      <c r="O1076">
        <v>0.90062499999999979</v>
      </c>
    </row>
    <row r="1077" spans="1:15" x14ac:dyDescent="0.3">
      <c r="A1077">
        <v>1076</v>
      </c>
      <c r="B1077" s="1">
        <v>45747</v>
      </c>
      <c r="C1077" t="s">
        <v>20</v>
      </c>
      <c r="D1077" t="s">
        <v>19</v>
      </c>
      <c r="E1077">
        <v>480</v>
      </c>
      <c r="F1077">
        <v>39</v>
      </c>
      <c r="G1077">
        <v>1849</v>
      </c>
      <c r="H1077">
        <v>1805</v>
      </c>
      <c r="I1077">
        <v>44</v>
      </c>
      <c r="J1077">
        <v>13.8</v>
      </c>
      <c r="K1077">
        <v>441</v>
      </c>
      <c r="L1077">
        <v>0.91874999999999996</v>
      </c>
      <c r="M1077">
        <v>0.96433106575963723</v>
      </c>
      <c r="N1077">
        <v>0.97620335316387241</v>
      </c>
      <c r="O1077">
        <v>0.86489583333333331</v>
      </c>
    </row>
    <row r="1078" spans="1:15" x14ac:dyDescent="0.3">
      <c r="A1078">
        <v>1077</v>
      </c>
      <c r="B1078" s="1">
        <v>45747</v>
      </c>
      <c r="C1078" t="s">
        <v>21</v>
      </c>
      <c r="D1078" t="s">
        <v>16</v>
      </c>
      <c r="E1078">
        <v>480</v>
      </c>
      <c r="F1078">
        <v>5</v>
      </c>
      <c r="G1078">
        <v>2269</v>
      </c>
      <c r="H1078">
        <v>2187</v>
      </c>
      <c r="I1078">
        <v>82</v>
      </c>
      <c r="J1078">
        <v>12</v>
      </c>
      <c r="K1078">
        <v>475</v>
      </c>
      <c r="L1078">
        <v>0.98958333333333337</v>
      </c>
      <c r="M1078">
        <v>0.95536842105263153</v>
      </c>
      <c r="N1078">
        <v>0.96386073159982366</v>
      </c>
      <c r="O1078">
        <v>0.91125</v>
      </c>
    </row>
    <row r="1079" spans="1:15" x14ac:dyDescent="0.3">
      <c r="A1079">
        <v>1078</v>
      </c>
      <c r="B1079" s="1">
        <v>45747</v>
      </c>
      <c r="C1079" t="s">
        <v>21</v>
      </c>
      <c r="D1079" t="s">
        <v>17</v>
      </c>
      <c r="E1079">
        <v>480</v>
      </c>
      <c r="F1079">
        <v>100</v>
      </c>
      <c r="G1079">
        <v>1552</v>
      </c>
      <c r="H1079">
        <v>1491</v>
      </c>
      <c r="I1079">
        <v>61</v>
      </c>
      <c r="J1079">
        <v>12.6</v>
      </c>
      <c r="K1079">
        <v>380</v>
      </c>
      <c r="L1079">
        <v>0.79166666666666663</v>
      </c>
      <c r="M1079">
        <v>0.85768421052631583</v>
      </c>
      <c r="N1079">
        <v>0.96069587628865982</v>
      </c>
      <c r="O1079">
        <v>0.65231250000000007</v>
      </c>
    </row>
    <row r="1080" spans="1:15" x14ac:dyDescent="0.3">
      <c r="A1080">
        <v>1079</v>
      </c>
      <c r="B1080" s="1">
        <v>45747</v>
      </c>
      <c r="C1080" t="s">
        <v>21</v>
      </c>
      <c r="D1080" t="s">
        <v>18</v>
      </c>
      <c r="E1080">
        <v>480</v>
      </c>
      <c r="F1080">
        <v>0</v>
      </c>
      <c r="G1080">
        <v>1774</v>
      </c>
      <c r="H1080">
        <v>1754</v>
      </c>
      <c r="I1080">
        <v>20</v>
      </c>
      <c r="J1080">
        <v>13.2</v>
      </c>
      <c r="K1080">
        <v>480</v>
      </c>
      <c r="L1080">
        <v>1</v>
      </c>
      <c r="M1080">
        <v>0.81308333333333327</v>
      </c>
      <c r="N1080">
        <v>0.98872604284103716</v>
      </c>
      <c r="O1080">
        <v>0.80391666666666661</v>
      </c>
    </row>
    <row r="1081" spans="1:15" x14ac:dyDescent="0.3">
      <c r="A1081">
        <v>1080</v>
      </c>
      <c r="B1081" s="1">
        <v>45747</v>
      </c>
      <c r="C1081" t="s">
        <v>21</v>
      </c>
      <c r="D1081" t="s">
        <v>19</v>
      </c>
      <c r="E1081">
        <v>480</v>
      </c>
      <c r="F1081">
        <v>157</v>
      </c>
      <c r="G1081">
        <v>1121</v>
      </c>
      <c r="H1081">
        <v>1072</v>
      </c>
      <c r="I1081">
        <v>49</v>
      </c>
      <c r="J1081">
        <v>13.8</v>
      </c>
      <c r="K1081">
        <v>323</v>
      </c>
      <c r="L1081">
        <v>0.67291666666666672</v>
      </c>
      <c r="M1081">
        <v>0.79823529411764715</v>
      </c>
      <c r="N1081">
        <v>0.95628902765388046</v>
      </c>
      <c r="O1081">
        <v>0.51366666666666672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756B-FE17-4EBD-8E13-C070C7EDFFD4}">
  <dimension ref="A1:G1582"/>
  <sheetViews>
    <sheetView workbookViewId="0">
      <selection activeCell="K17" sqref="K17"/>
    </sheetView>
  </sheetViews>
  <sheetFormatPr baseColWidth="10" defaultRowHeight="14.4" x14ac:dyDescent="0.3"/>
  <cols>
    <col min="1" max="1" width="9.5546875" bestFit="1" customWidth="1"/>
    <col min="2" max="2" width="12.5546875" bestFit="1" customWidth="1"/>
    <col min="3" max="3" width="10.33203125" bestFit="1" customWidth="1"/>
    <col min="4" max="4" width="7.77734375" bestFit="1" customWidth="1"/>
    <col min="5" max="5" width="10.33203125" bestFit="1" customWidth="1"/>
    <col min="6" max="6" width="25.6640625" bestFit="1" customWidth="1"/>
    <col min="7" max="7" width="14.6640625" bestFit="1" customWidth="1"/>
  </cols>
  <sheetData>
    <row r="1" spans="1:7" x14ac:dyDescent="0.3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23</v>
      </c>
      <c r="G1" t="s">
        <v>24</v>
      </c>
    </row>
    <row r="2" spans="1:7" x14ac:dyDescent="0.3">
      <c r="A2">
        <v>1</v>
      </c>
      <c r="B2">
        <v>1</v>
      </c>
      <c r="C2" s="1">
        <v>45658</v>
      </c>
      <c r="D2" t="s">
        <v>15</v>
      </c>
      <c r="E2" t="s">
        <v>16</v>
      </c>
      <c r="F2" t="s">
        <v>25</v>
      </c>
      <c r="G2">
        <v>7</v>
      </c>
    </row>
    <row r="3" spans="1:7" x14ac:dyDescent="0.3">
      <c r="A3">
        <v>2</v>
      </c>
      <c r="B3">
        <v>1</v>
      </c>
      <c r="C3" s="1">
        <v>45658</v>
      </c>
      <c r="D3" t="s">
        <v>15</v>
      </c>
      <c r="E3" t="s">
        <v>16</v>
      </c>
      <c r="F3" t="s">
        <v>25</v>
      </c>
      <c r="G3">
        <v>90</v>
      </c>
    </row>
    <row r="4" spans="1:7" x14ac:dyDescent="0.3">
      <c r="A4">
        <v>3</v>
      </c>
      <c r="B4">
        <v>1</v>
      </c>
      <c r="C4" s="1">
        <v>45658</v>
      </c>
      <c r="D4" t="s">
        <v>15</v>
      </c>
      <c r="E4" t="s">
        <v>16</v>
      </c>
      <c r="F4" t="s">
        <v>26</v>
      </c>
      <c r="G4">
        <v>36</v>
      </c>
    </row>
    <row r="5" spans="1:7" x14ac:dyDescent="0.3">
      <c r="A5">
        <v>4</v>
      </c>
      <c r="B5">
        <v>2</v>
      </c>
      <c r="C5" s="1">
        <v>45658</v>
      </c>
      <c r="D5" t="s">
        <v>15</v>
      </c>
      <c r="E5" t="s">
        <v>17</v>
      </c>
      <c r="F5" t="s">
        <v>25</v>
      </c>
      <c r="G5">
        <v>9</v>
      </c>
    </row>
    <row r="6" spans="1:7" x14ac:dyDescent="0.3">
      <c r="A6">
        <v>5</v>
      </c>
      <c r="B6">
        <v>3</v>
      </c>
      <c r="C6" s="1">
        <v>45658</v>
      </c>
      <c r="D6" t="s">
        <v>15</v>
      </c>
      <c r="E6" t="s">
        <v>18</v>
      </c>
      <c r="F6" t="s">
        <v>26</v>
      </c>
      <c r="G6">
        <v>5</v>
      </c>
    </row>
    <row r="7" spans="1:7" x14ac:dyDescent="0.3">
      <c r="A7">
        <v>6</v>
      </c>
      <c r="B7">
        <v>4</v>
      </c>
      <c r="C7" s="1">
        <v>45658</v>
      </c>
      <c r="D7" t="s">
        <v>15</v>
      </c>
      <c r="E7" t="s">
        <v>19</v>
      </c>
      <c r="F7" t="s">
        <v>27</v>
      </c>
      <c r="G7">
        <v>17</v>
      </c>
    </row>
    <row r="8" spans="1:7" x14ac:dyDescent="0.3">
      <c r="A8">
        <v>7</v>
      </c>
      <c r="B8">
        <v>4</v>
      </c>
      <c r="C8" s="1">
        <v>45658</v>
      </c>
      <c r="D8" t="s">
        <v>15</v>
      </c>
      <c r="E8" t="s">
        <v>19</v>
      </c>
      <c r="F8" t="s">
        <v>25</v>
      </c>
      <c r="G8">
        <v>42</v>
      </c>
    </row>
    <row r="9" spans="1:7" x14ac:dyDescent="0.3">
      <c r="A9">
        <v>8</v>
      </c>
      <c r="B9">
        <v>5</v>
      </c>
      <c r="C9" s="1">
        <v>45658</v>
      </c>
      <c r="D9" t="s">
        <v>20</v>
      </c>
      <c r="E9" t="s">
        <v>16</v>
      </c>
      <c r="F9" t="s">
        <v>26</v>
      </c>
      <c r="G9">
        <v>17</v>
      </c>
    </row>
    <row r="10" spans="1:7" x14ac:dyDescent="0.3">
      <c r="A10">
        <v>9</v>
      </c>
      <c r="B10">
        <v>5</v>
      </c>
      <c r="C10" s="1">
        <v>45658</v>
      </c>
      <c r="D10" t="s">
        <v>20</v>
      </c>
      <c r="E10" t="s">
        <v>16</v>
      </c>
      <c r="F10" t="s">
        <v>25</v>
      </c>
      <c r="G10">
        <v>30</v>
      </c>
    </row>
    <row r="11" spans="1:7" x14ac:dyDescent="0.3">
      <c r="A11">
        <v>10</v>
      </c>
      <c r="B11">
        <v>5</v>
      </c>
      <c r="C11" s="1">
        <v>45658</v>
      </c>
      <c r="D11" t="s">
        <v>20</v>
      </c>
      <c r="E11" t="s">
        <v>16</v>
      </c>
      <c r="F11" t="s">
        <v>25</v>
      </c>
      <c r="G11">
        <v>108</v>
      </c>
    </row>
    <row r="12" spans="1:7" x14ac:dyDescent="0.3">
      <c r="A12">
        <v>11</v>
      </c>
      <c r="B12">
        <v>5</v>
      </c>
      <c r="C12" s="1">
        <v>45658</v>
      </c>
      <c r="D12" t="s">
        <v>20</v>
      </c>
      <c r="E12" t="s">
        <v>16</v>
      </c>
      <c r="F12" t="s">
        <v>25</v>
      </c>
      <c r="G12">
        <v>48</v>
      </c>
    </row>
    <row r="13" spans="1:7" x14ac:dyDescent="0.3">
      <c r="A13">
        <v>12</v>
      </c>
      <c r="B13">
        <v>6</v>
      </c>
      <c r="C13" s="1">
        <v>45658</v>
      </c>
      <c r="D13" t="s">
        <v>20</v>
      </c>
      <c r="E13" t="s">
        <v>17</v>
      </c>
      <c r="F13" t="s">
        <v>28</v>
      </c>
      <c r="G13">
        <v>89</v>
      </c>
    </row>
    <row r="14" spans="1:7" x14ac:dyDescent="0.3">
      <c r="A14">
        <v>13</v>
      </c>
      <c r="B14">
        <v>7</v>
      </c>
      <c r="C14" s="1">
        <v>45658</v>
      </c>
      <c r="D14" t="s">
        <v>20</v>
      </c>
      <c r="E14" t="s">
        <v>18</v>
      </c>
      <c r="F14" t="s">
        <v>25</v>
      </c>
      <c r="G14">
        <v>5</v>
      </c>
    </row>
    <row r="15" spans="1:7" x14ac:dyDescent="0.3">
      <c r="A15">
        <v>14</v>
      </c>
      <c r="B15">
        <v>7</v>
      </c>
      <c r="C15" s="1">
        <v>45658</v>
      </c>
      <c r="D15" t="s">
        <v>20</v>
      </c>
      <c r="E15" t="s">
        <v>18</v>
      </c>
      <c r="F15" t="s">
        <v>25</v>
      </c>
      <c r="G15">
        <v>22</v>
      </c>
    </row>
    <row r="16" spans="1:7" x14ac:dyDescent="0.3">
      <c r="A16">
        <v>15</v>
      </c>
      <c r="B16">
        <v>8</v>
      </c>
      <c r="C16" s="1">
        <v>45658</v>
      </c>
      <c r="D16" t="s">
        <v>20</v>
      </c>
      <c r="E16" t="s">
        <v>19</v>
      </c>
      <c r="F16" t="s">
        <v>27</v>
      </c>
      <c r="G16">
        <v>5</v>
      </c>
    </row>
    <row r="17" spans="1:7" x14ac:dyDescent="0.3">
      <c r="A17">
        <v>16</v>
      </c>
      <c r="B17">
        <v>9</v>
      </c>
      <c r="C17" s="1">
        <v>45658</v>
      </c>
      <c r="D17" t="s">
        <v>21</v>
      </c>
      <c r="E17" t="s">
        <v>16</v>
      </c>
      <c r="F17" t="s">
        <v>25</v>
      </c>
      <c r="G17">
        <v>76</v>
      </c>
    </row>
    <row r="18" spans="1:7" x14ac:dyDescent="0.3">
      <c r="A18">
        <v>17</v>
      </c>
      <c r="B18">
        <v>9</v>
      </c>
      <c r="C18" s="1">
        <v>45658</v>
      </c>
      <c r="D18" t="s">
        <v>21</v>
      </c>
      <c r="E18" t="s">
        <v>16</v>
      </c>
      <c r="F18" t="s">
        <v>26</v>
      </c>
      <c r="G18">
        <v>39</v>
      </c>
    </row>
    <row r="19" spans="1:7" x14ac:dyDescent="0.3">
      <c r="A19">
        <v>18</v>
      </c>
      <c r="B19">
        <v>10</v>
      </c>
      <c r="C19" s="1">
        <v>45658</v>
      </c>
      <c r="D19" t="s">
        <v>21</v>
      </c>
      <c r="E19" t="s">
        <v>17</v>
      </c>
      <c r="F19" t="s">
        <v>29</v>
      </c>
      <c r="G19">
        <v>24</v>
      </c>
    </row>
    <row r="20" spans="1:7" x14ac:dyDescent="0.3">
      <c r="A20">
        <v>19</v>
      </c>
      <c r="B20">
        <v>11</v>
      </c>
      <c r="C20" s="1">
        <v>45658</v>
      </c>
      <c r="D20" t="s">
        <v>21</v>
      </c>
      <c r="E20" t="s">
        <v>18</v>
      </c>
      <c r="F20" t="s">
        <v>26</v>
      </c>
      <c r="G20">
        <v>30</v>
      </c>
    </row>
    <row r="21" spans="1:7" x14ac:dyDescent="0.3">
      <c r="A21">
        <v>20</v>
      </c>
      <c r="B21">
        <v>13</v>
      </c>
      <c r="C21" s="1">
        <v>45659</v>
      </c>
      <c r="D21" t="s">
        <v>15</v>
      </c>
      <c r="E21" t="s">
        <v>16</v>
      </c>
      <c r="F21" t="s">
        <v>27</v>
      </c>
      <c r="G21">
        <v>11</v>
      </c>
    </row>
    <row r="22" spans="1:7" x14ac:dyDescent="0.3">
      <c r="A22">
        <v>21</v>
      </c>
      <c r="B22">
        <v>13</v>
      </c>
      <c r="C22" s="1">
        <v>45659</v>
      </c>
      <c r="D22" t="s">
        <v>15</v>
      </c>
      <c r="E22" t="s">
        <v>16</v>
      </c>
      <c r="F22" t="s">
        <v>25</v>
      </c>
      <c r="G22">
        <v>5</v>
      </c>
    </row>
    <row r="23" spans="1:7" x14ac:dyDescent="0.3">
      <c r="A23">
        <v>22</v>
      </c>
      <c r="B23">
        <v>14</v>
      </c>
      <c r="C23" s="1">
        <v>45659</v>
      </c>
      <c r="D23" t="s">
        <v>15</v>
      </c>
      <c r="E23" t="s">
        <v>17</v>
      </c>
      <c r="F23" t="s">
        <v>29</v>
      </c>
      <c r="G23">
        <v>7</v>
      </c>
    </row>
    <row r="24" spans="1:7" x14ac:dyDescent="0.3">
      <c r="A24">
        <v>23</v>
      </c>
      <c r="B24">
        <v>15</v>
      </c>
      <c r="C24" s="1">
        <v>45659</v>
      </c>
      <c r="D24" t="s">
        <v>15</v>
      </c>
      <c r="E24" t="s">
        <v>18</v>
      </c>
      <c r="F24" t="s">
        <v>25</v>
      </c>
      <c r="G24">
        <v>7</v>
      </c>
    </row>
    <row r="25" spans="1:7" x14ac:dyDescent="0.3">
      <c r="A25">
        <v>24</v>
      </c>
      <c r="B25">
        <v>16</v>
      </c>
      <c r="C25" s="1">
        <v>45659</v>
      </c>
      <c r="D25" t="s">
        <v>15</v>
      </c>
      <c r="E25" t="s">
        <v>19</v>
      </c>
      <c r="F25" t="s">
        <v>29</v>
      </c>
      <c r="G25">
        <v>19</v>
      </c>
    </row>
    <row r="26" spans="1:7" x14ac:dyDescent="0.3">
      <c r="A26">
        <v>25</v>
      </c>
      <c r="B26">
        <v>16</v>
      </c>
      <c r="C26" s="1">
        <v>45659</v>
      </c>
      <c r="D26" t="s">
        <v>15</v>
      </c>
      <c r="E26" t="s">
        <v>19</v>
      </c>
      <c r="F26" t="s">
        <v>30</v>
      </c>
      <c r="G26">
        <v>33</v>
      </c>
    </row>
    <row r="27" spans="1:7" x14ac:dyDescent="0.3">
      <c r="A27">
        <v>26</v>
      </c>
      <c r="B27">
        <v>16</v>
      </c>
      <c r="C27" s="1">
        <v>45659</v>
      </c>
      <c r="D27" t="s">
        <v>15</v>
      </c>
      <c r="E27" t="s">
        <v>19</v>
      </c>
      <c r="F27" t="s">
        <v>25</v>
      </c>
      <c r="G27">
        <v>5</v>
      </c>
    </row>
    <row r="28" spans="1:7" x14ac:dyDescent="0.3">
      <c r="A28">
        <v>27</v>
      </c>
      <c r="B28">
        <v>17</v>
      </c>
      <c r="C28" s="1">
        <v>45659</v>
      </c>
      <c r="D28" t="s">
        <v>20</v>
      </c>
      <c r="E28" t="s">
        <v>16</v>
      </c>
      <c r="F28" t="s">
        <v>27</v>
      </c>
      <c r="G28">
        <v>10</v>
      </c>
    </row>
    <row r="29" spans="1:7" x14ac:dyDescent="0.3">
      <c r="A29">
        <v>28</v>
      </c>
      <c r="B29">
        <v>17</v>
      </c>
      <c r="C29" s="1">
        <v>45659</v>
      </c>
      <c r="D29" t="s">
        <v>20</v>
      </c>
      <c r="E29" t="s">
        <v>16</v>
      </c>
      <c r="F29" t="s">
        <v>25</v>
      </c>
      <c r="G29">
        <v>5</v>
      </c>
    </row>
    <row r="30" spans="1:7" x14ac:dyDescent="0.3">
      <c r="A30">
        <v>29</v>
      </c>
      <c r="B30">
        <v>18</v>
      </c>
      <c r="C30" s="1">
        <v>45659</v>
      </c>
      <c r="D30" t="s">
        <v>20</v>
      </c>
      <c r="E30" t="s">
        <v>17</v>
      </c>
      <c r="F30" t="s">
        <v>26</v>
      </c>
      <c r="G30">
        <v>13</v>
      </c>
    </row>
    <row r="31" spans="1:7" x14ac:dyDescent="0.3">
      <c r="A31">
        <v>30</v>
      </c>
      <c r="B31">
        <v>19</v>
      </c>
      <c r="C31" s="1">
        <v>45659</v>
      </c>
      <c r="D31" t="s">
        <v>20</v>
      </c>
      <c r="E31" t="s">
        <v>18</v>
      </c>
      <c r="F31" t="s">
        <v>25</v>
      </c>
      <c r="G31">
        <v>15</v>
      </c>
    </row>
    <row r="32" spans="1:7" x14ac:dyDescent="0.3">
      <c r="A32">
        <v>31</v>
      </c>
      <c r="B32">
        <v>20</v>
      </c>
      <c r="C32" s="1">
        <v>45659</v>
      </c>
      <c r="D32" t="s">
        <v>20</v>
      </c>
      <c r="E32" t="s">
        <v>19</v>
      </c>
      <c r="F32" t="s">
        <v>25</v>
      </c>
      <c r="G32">
        <v>107</v>
      </c>
    </row>
    <row r="33" spans="1:7" x14ac:dyDescent="0.3">
      <c r="A33">
        <v>32</v>
      </c>
      <c r="B33">
        <v>21</v>
      </c>
      <c r="C33" s="1">
        <v>45659</v>
      </c>
      <c r="D33" t="s">
        <v>21</v>
      </c>
      <c r="E33" t="s">
        <v>16</v>
      </c>
      <c r="F33" t="s">
        <v>26</v>
      </c>
      <c r="G33">
        <v>43</v>
      </c>
    </row>
    <row r="34" spans="1:7" x14ac:dyDescent="0.3">
      <c r="A34">
        <v>33</v>
      </c>
      <c r="B34">
        <v>21</v>
      </c>
      <c r="C34" s="1">
        <v>45659</v>
      </c>
      <c r="D34" t="s">
        <v>21</v>
      </c>
      <c r="E34" t="s">
        <v>16</v>
      </c>
      <c r="F34" t="s">
        <v>25</v>
      </c>
      <c r="G34">
        <v>58</v>
      </c>
    </row>
    <row r="35" spans="1:7" x14ac:dyDescent="0.3">
      <c r="A35">
        <v>34</v>
      </c>
      <c r="B35">
        <v>22</v>
      </c>
      <c r="C35" s="1">
        <v>45659</v>
      </c>
      <c r="D35" t="s">
        <v>21</v>
      </c>
      <c r="E35" t="s">
        <v>17</v>
      </c>
      <c r="F35" t="s">
        <v>30</v>
      </c>
      <c r="G35">
        <v>5</v>
      </c>
    </row>
    <row r="36" spans="1:7" x14ac:dyDescent="0.3">
      <c r="A36">
        <v>35</v>
      </c>
      <c r="B36">
        <v>22</v>
      </c>
      <c r="C36" s="1">
        <v>45659</v>
      </c>
      <c r="D36" t="s">
        <v>21</v>
      </c>
      <c r="E36" t="s">
        <v>17</v>
      </c>
      <c r="F36" t="s">
        <v>25</v>
      </c>
      <c r="G36">
        <v>5</v>
      </c>
    </row>
    <row r="37" spans="1:7" x14ac:dyDescent="0.3">
      <c r="A37">
        <v>36</v>
      </c>
      <c r="B37">
        <v>24</v>
      </c>
      <c r="C37" s="1">
        <v>45659</v>
      </c>
      <c r="D37" t="s">
        <v>21</v>
      </c>
      <c r="E37" t="s">
        <v>19</v>
      </c>
      <c r="F37" t="s">
        <v>26</v>
      </c>
      <c r="G37">
        <v>14</v>
      </c>
    </row>
    <row r="38" spans="1:7" x14ac:dyDescent="0.3">
      <c r="A38">
        <v>37</v>
      </c>
      <c r="B38">
        <v>25</v>
      </c>
      <c r="C38" s="1">
        <v>45660</v>
      </c>
      <c r="D38" t="s">
        <v>15</v>
      </c>
      <c r="E38" t="s">
        <v>16</v>
      </c>
      <c r="F38" t="s">
        <v>29</v>
      </c>
      <c r="G38">
        <v>52</v>
      </c>
    </row>
    <row r="39" spans="1:7" x14ac:dyDescent="0.3">
      <c r="A39">
        <v>38</v>
      </c>
      <c r="B39">
        <v>26</v>
      </c>
      <c r="C39" s="1">
        <v>45660</v>
      </c>
      <c r="D39" t="s">
        <v>15</v>
      </c>
      <c r="E39" t="s">
        <v>17</v>
      </c>
      <c r="F39" t="s">
        <v>25</v>
      </c>
      <c r="G39">
        <v>102</v>
      </c>
    </row>
    <row r="40" spans="1:7" x14ac:dyDescent="0.3">
      <c r="A40">
        <v>39</v>
      </c>
      <c r="B40">
        <v>26</v>
      </c>
      <c r="C40" s="1">
        <v>45660</v>
      </c>
      <c r="D40" t="s">
        <v>15</v>
      </c>
      <c r="E40" t="s">
        <v>17</v>
      </c>
      <c r="F40" t="s">
        <v>29</v>
      </c>
      <c r="G40">
        <v>25</v>
      </c>
    </row>
    <row r="41" spans="1:7" x14ac:dyDescent="0.3">
      <c r="A41">
        <v>40</v>
      </c>
      <c r="B41">
        <v>26</v>
      </c>
      <c r="C41" s="1">
        <v>45660</v>
      </c>
      <c r="D41" t="s">
        <v>15</v>
      </c>
      <c r="E41" t="s">
        <v>17</v>
      </c>
      <c r="F41" t="s">
        <v>25</v>
      </c>
      <c r="G41">
        <v>19</v>
      </c>
    </row>
    <row r="42" spans="1:7" x14ac:dyDescent="0.3">
      <c r="A42">
        <v>41</v>
      </c>
      <c r="B42">
        <v>27</v>
      </c>
      <c r="C42" s="1">
        <v>45660</v>
      </c>
      <c r="D42" t="s">
        <v>15</v>
      </c>
      <c r="E42" t="s">
        <v>18</v>
      </c>
      <c r="F42" t="s">
        <v>25</v>
      </c>
      <c r="G42">
        <v>102</v>
      </c>
    </row>
    <row r="43" spans="1:7" x14ac:dyDescent="0.3">
      <c r="A43">
        <v>42</v>
      </c>
      <c r="B43">
        <v>27</v>
      </c>
      <c r="C43" s="1">
        <v>45660</v>
      </c>
      <c r="D43" t="s">
        <v>15</v>
      </c>
      <c r="E43" t="s">
        <v>18</v>
      </c>
      <c r="F43" t="s">
        <v>26</v>
      </c>
      <c r="G43">
        <v>5</v>
      </c>
    </row>
    <row r="44" spans="1:7" x14ac:dyDescent="0.3">
      <c r="A44">
        <v>43</v>
      </c>
      <c r="B44">
        <v>27</v>
      </c>
      <c r="C44" s="1">
        <v>45660</v>
      </c>
      <c r="D44" t="s">
        <v>15</v>
      </c>
      <c r="E44" t="s">
        <v>18</v>
      </c>
      <c r="F44" t="s">
        <v>25</v>
      </c>
      <c r="G44">
        <v>49</v>
      </c>
    </row>
    <row r="45" spans="1:7" x14ac:dyDescent="0.3">
      <c r="A45">
        <v>44</v>
      </c>
      <c r="B45">
        <v>28</v>
      </c>
      <c r="C45" s="1">
        <v>45660</v>
      </c>
      <c r="D45" t="s">
        <v>15</v>
      </c>
      <c r="E45" t="s">
        <v>19</v>
      </c>
      <c r="F45" t="s">
        <v>26</v>
      </c>
      <c r="G45">
        <v>8</v>
      </c>
    </row>
    <row r="46" spans="1:7" x14ac:dyDescent="0.3">
      <c r="A46">
        <v>45</v>
      </c>
      <c r="B46">
        <v>28</v>
      </c>
      <c r="C46" s="1">
        <v>45660</v>
      </c>
      <c r="D46" t="s">
        <v>15</v>
      </c>
      <c r="E46" t="s">
        <v>19</v>
      </c>
      <c r="F46" t="s">
        <v>25</v>
      </c>
      <c r="G46">
        <v>61</v>
      </c>
    </row>
    <row r="47" spans="1:7" x14ac:dyDescent="0.3">
      <c r="A47">
        <v>46</v>
      </c>
      <c r="B47">
        <v>28</v>
      </c>
      <c r="C47" s="1">
        <v>45660</v>
      </c>
      <c r="D47" t="s">
        <v>15</v>
      </c>
      <c r="E47" t="s">
        <v>19</v>
      </c>
      <c r="F47" t="s">
        <v>26</v>
      </c>
      <c r="G47">
        <v>56</v>
      </c>
    </row>
    <row r="48" spans="1:7" x14ac:dyDescent="0.3">
      <c r="A48">
        <v>47</v>
      </c>
      <c r="B48">
        <v>30</v>
      </c>
      <c r="C48" s="1">
        <v>45660</v>
      </c>
      <c r="D48" t="s">
        <v>20</v>
      </c>
      <c r="E48" t="s">
        <v>17</v>
      </c>
      <c r="F48" t="s">
        <v>29</v>
      </c>
      <c r="G48">
        <v>24</v>
      </c>
    </row>
    <row r="49" spans="1:7" x14ac:dyDescent="0.3">
      <c r="A49">
        <v>48</v>
      </c>
      <c r="B49">
        <v>30</v>
      </c>
      <c r="C49" s="1">
        <v>45660</v>
      </c>
      <c r="D49" t="s">
        <v>20</v>
      </c>
      <c r="E49" t="s">
        <v>17</v>
      </c>
      <c r="F49" t="s">
        <v>30</v>
      </c>
      <c r="G49">
        <v>10</v>
      </c>
    </row>
    <row r="50" spans="1:7" x14ac:dyDescent="0.3">
      <c r="A50">
        <v>49</v>
      </c>
      <c r="B50">
        <v>33</v>
      </c>
      <c r="C50" s="1">
        <v>45660</v>
      </c>
      <c r="D50" t="s">
        <v>21</v>
      </c>
      <c r="E50" t="s">
        <v>16</v>
      </c>
      <c r="F50" t="s">
        <v>29</v>
      </c>
      <c r="G50">
        <v>13</v>
      </c>
    </row>
    <row r="51" spans="1:7" x14ac:dyDescent="0.3">
      <c r="A51">
        <v>50</v>
      </c>
      <c r="B51">
        <v>33</v>
      </c>
      <c r="C51" s="1">
        <v>45660</v>
      </c>
      <c r="D51" t="s">
        <v>21</v>
      </c>
      <c r="E51" t="s">
        <v>16</v>
      </c>
      <c r="F51" t="s">
        <v>28</v>
      </c>
      <c r="G51">
        <v>198</v>
      </c>
    </row>
    <row r="52" spans="1:7" x14ac:dyDescent="0.3">
      <c r="A52">
        <v>51</v>
      </c>
      <c r="B52">
        <v>33</v>
      </c>
      <c r="C52" s="1">
        <v>45660</v>
      </c>
      <c r="D52" t="s">
        <v>21</v>
      </c>
      <c r="E52" t="s">
        <v>16</v>
      </c>
      <c r="F52" t="s">
        <v>29</v>
      </c>
      <c r="G52">
        <v>8</v>
      </c>
    </row>
    <row r="53" spans="1:7" x14ac:dyDescent="0.3">
      <c r="A53">
        <v>52</v>
      </c>
      <c r="B53">
        <v>33</v>
      </c>
      <c r="C53" s="1">
        <v>45660</v>
      </c>
      <c r="D53" t="s">
        <v>21</v>
      </c>
      <c r="E53" t="s">
        <v>16</v>
      </c>
      <c r="F53" t="s">
        <v>27</v>
      </c>
      <c r="G53">
        <v>38</v>
      </c>
    </row>
    <row r="54" spans="1:7" x14ac:dyDescent="0.3">
      <c r="A54">
        <v>53</v>
      </c>
      <c r="B54">
        <v>34</v>
      </c>
      <c r="C54" s="1">
        <v>45660</v>
      </c>
      <c r="D54" t="s">
        <v>21</v>
      </c>
      <c r="E54" t="s">
        <v>17</v>
      </c>
      <c r="F54" t="s">
        <v>25</v>
      </c>
      <c r="G54">
        <v>42</v>
      </c>
    </row>
    <row r="55" spans="1:7" x14ac:dyDescent="0.3">
      <c r="A55">
        <v>54</v>
      </c>
      <c r="B55">
        <v>34</v>
      </c>
      <c r="C55" s="1">
        <v>45660</v>
      </c>
      <c r="D55" t="s">
        <v>21</v>
      </c>
      <c r="E55" t="s">
        <v>17</v>
      </c>
      <c r="F55" t="s">
        <v>28</v>
      </c>
      <c r="G55">
        <v>9</v>
      </c>
    </row>
    <row r="56" spans="1:7" x14ac:dyDescent="0.3">
      <c r="A56">
        <v>55</v>
      </c>
      <c r="B56">
        <v>34</v>
      </c>
      <c r="C56" s="1">
        <v>45660</v>
      </c>
      <c r="D56" t="s">
        <v>21</v>
      </c>
      <c r="E56" t="s">
        <v>17</v>
      </c>
      <c r="F56" t="s">
        <v>27</v>
      </c>
      <c r="G56">
        <v>41</v>
      </c>
    </row>
    <row r="57" spans="1:7" x14ac:dyDescent="0.3">
      <c r="A57">
        <v>56</v>
      </c>
      <c r="B57">
        <v>35</v>
      </c>
      <c r="C57" s="1">
        <v>45660</v>
      </c>
      <c r="D57" t="s">
        <v>21</v>
      </c>
      <c r="E57" t="s">
        <v>18</v>
      </c>
      <c r="F57" t="s">
        <v>30</v>
      </c>
      <c r="G57">
        <v>24</v>
      </c>
    </row>
    <row r="58" spans="1:7" x14ac:dyDescent="0.3">
      <c r="A58">
        <v>57</v>
      </c>
      <c r="B58">
        <v>35</v>
      </c>
      <c r="C58" s="1">
        <v>45660</v>
      </c>
      <c r="D58" t="s">
        <v>21</v>
      </c>
      <c r="E58" t="s">
        <v>18</v>
      </c>
      <c r="F58" t="s">
        <v>29</v>
      </c>
      <c r="G58">
        <v>61</v>
      </c>
    </row>
    <row r="59" spans="1:7" x14ac:dyDescent="0.3">
      <c r="A59">
        <v>58</v>
      </c>
      <c r="B59">
        <v>36</v>
      </c>
      <c r="C59" s="1">
        <v>45660</v>
      </c>
      <c r="D59" t="s">
        <v>21</v>
      </c>
      <c r="E59" t="s">
        <v>19</v>
      </c>
      <c r="F59" t="s">
        <v>27</v>
      </c>
      <c r="G59">
        <v>5</v>
      </c>
    </row>
    <row r="60" spans="1:7" x14ac:dyDescent="0.3">
      <c r="A60">
        <v>59</v>
      </c>
      <c r="B60">
        <v>36</v>
      </c>
      <c r="C60" s="1">
        <v>45660</v>
      </c>
      <c r="D60" t="s">
        <v>21</v>
      </c>
      <c r="E60" t="s">
        <v>19</v>
      </c>
      <c r="F60" t="s">
        <v>27</v>
      </c>
      <c r="G60">
        <v>5</v>
      </c>
    </row>
    <row r="61" spans="1:7" x14ac:dyDescent="0.3">
      <c r="A61">
        <v>60</v>
      </c>
      <c r="B61">
        <v>36</v>
      </c>
      <c r="C61" s="1">
        <v>45660</v>
      </c>
      <c r="D61" t="s">
        <v>21</v>
      </c>
      <c r="E61" t="s">
        <v>19</v>
      </c>
      <c r="F61" t="s">
        <v>27</v>
      </c>
      <c r="G61">
        <v>15</v>
      </c>
    </row>
    <row r="62" spans="1:7" x14ac:dyDescent="0.3">
      <c r="A62">
        <v>61</v>
      </c>
      <c r="B62">
        <v>36</v>
      </c>
      <c r="C62" s="1">
        <v>45660</v>
      </c>
      <c r="D62" t="s">
        <v>21</v>
      </c>
      <c r="E62" t="s">
        <v>19</v>
      </c>
      <c r="F62" t="s">
        <v>25</v>
      </c>
      <c r="G62">
        <v>40</v>
      </c>
    </row>
    <row r="63" spans="1:7" x14ac:dyDescent="0.3">
      <c r="A63">
        <v>62</v>
      </c>
      <c r="B63">
        <v>36</v>
      </c>
      <c r="C63" s="1">
        <v>45660</v>
      </c>
      <c r="D63" t="s">
        <v>21</v>
      </c>
      <c r="E63" t="s">
        <v>19</v>
      </c>
      <c r="F63" t="s">
        <v>25</v>
      </c>
      <c r="G63">
        <v>5</v>
      </c>
    </row>
    <row r="64" spans="1:7" x14ac:dyDescent="0.3">
      <c r="A64">
        <v>63</v>
      </c>
      <c r="B64">
        <v>40</v>
      </c>
      <c r="C64" s="1">
        <v>45661</v>
      </c>
      <c r="D64" t="s">
        <v>15</v>
      </c>
      <c r="E64" t="s">
        <v>19</v>
      </c>
      <c r="F64" t="s">
        <v>30</v>
      </c>
      <c r="G64">
        <v>5</v>
      </c>
    </row>
    <row r="65" spans="1:7" x14ac:dyDescent="0.3">
      <c r="A65">
        <v>64</v>
      </c>
      <c r="B65">
        <v>40</v>
      </c>
      <c r="C65" s="1">
        <v>45661</v>
      </c>
      <c r="D65" t="s">
        <v>15</v>
      </c>
      <c r="E65" t="s">
        <v>19</v>
      </c>
      <c r="F65" t="s">
        <v>27</v>
      </c>
      <c r="G65">
        <v>5</v>
      </c>
    </row>
    <row r="66" spans="1:7" x14ac:dyDescent="0.3">
      <c r="A66">
        <v>65</v>
      </c>
      <c r="B66">
        <v>40</v>
      </c>
      <c r="C66" s="1">
        <v>45661</v>
      </c>
      <c r="D66" t="s">
        <v>15</v>
      </c>
      <c r="E66" t="s">
        <v>19</v>
      </c>
      <c r="F66" t="s">
        <v>25</v>
      </c>
      <c r="G66">
        <v>147</v>
      </c>
    </row>
    <row r="67" spans="1:7" x14ac:dyDescent="0.3">
      <c r="A67">
        <v>66</v>
      </c>
      <c r="B67">
        <v>40</v>
      </c>
      <c r="C67" s="1">
        <v>45661</v>
      </c>
      <c r="D67" t="s">
        <v>15</v>
      </c>
      <c r="E67" t="s">
        <v>19</v>
      </c>
      <c r="F67" t="s">
        <v>30</v>
      </c>
      <c r="G67">
        <v>17</v>
      </c>
    </row>
    <row r="68" spans="1:7" x14ac:dyDescent="0.3">
      <c r="A68">
        <v>67</v>
      </c>
      <c r="B68">
        <v>42</v>
      </c>
      <c r="C68" s="1">
        <v>45661</v>
      </c>
      <c r="D68" t="s">
        <v>20</v>
      </c>
      <c r="E68" t="s">
        <v>17</v>
      </c>
      <c r="F68" t="s">
        <v>28</v>
      </c>
      <c r="G68">
        <v>80</v>
      </c>
    </row>
    <row r="69" spans="1:7" x14ac:dyDescent="0.3">
      <c r="A69">
        <v>68</v>
      </c>
      <c r="B69">
        <v>42</v>
      </c>
      <c r="C69" s="1">
        <v>45661</v>
      </c>
      <c r="D69" t="s">
        <v>20</v>
      </c>
      <c r="E69" t="s">
        <v>17</v>
      </c>
      <c r="F69" t="s">
        <v>27</v>
      </c>
      <c r="G69">
        <v>18</v>
      </c>
    </row>
    <row r="70" spans="1:7" x14ac:dyDescent="0.3">
      <c r="A70">
        <v>69</v>
      </c>
      <c r="B70">
        <v>43</v>
      </c>
      <c r="C70" s="1">
        <v>45661</v>
      </c>
      <c r="D70" t="s">
        <v>20</v>
      </c>
      <c r="E70" t="s">
        <v>18</v>
      </c>
      <c r="F70" t="s">
        <v>25</v>
      </c>
      <c r="G70">
        <v>5</v>
      </c>
    </row>
    <row r="71" spans="1:7" x14ac:dyDescent="0.3">
      <c r="A71">
        <v>70</v>
      </c>
      <c r="B71">
        <v>43</v>
      </c>
      <c r="C71" s="1">
        <v>45661</v>
      </c>
      <c r="D71" t="s">
        <v>20</v>
      </c>
      <c r="E71" t="s">
        <v>18</v>
      </c>
      <c r="F71" t="s">
        <v>25</v>
      </c>
      <c r="G71">
        <v>87</v>
      </c>
    </row>
    <row r="72" spans="1:7" x14ac:dyDescent="0.3">
      <c r="A72">
        <v>71</v>
      </c>
      <c r="B72">
        <v>46</v>
      </c>
      <c r="C72" s="1">
        <v>45661</v>
      </c>
      <c r="D72" t="s">
        <v>21</v>
      </c>
      <c r="E72" t="s">
        <v>17</v>
      </c>
      <c r="F72" t="s">
        <v>27</v>
      </c>
      <c r="G72">
        <v>19</v>
      </c>
    </row>
    <row r="73" spans="1:7" x14ac:dyDescent="0.3">
      <c r="A73">
        <v>72</v>
      </c>
      <c r="B73">
        <v>46</v>
      </c>
      <c r="C73" s="1">
        <v>45661</v>
      </c>
      <c r="D73" t="s">
        <v>21</v>
      </c>
      <c r="E73" t="s">
        <v>17</v>
      </c>
      <c r="F73" t="s">
        <v>27</v>
      </c>
      <c r="G73">
        <v>38</v>
      </c>
    </row>
    <row r="74" spans="1:7" x14ac:dyDescent="0.3">
      <c r="A74">
        <v>73</v>
      </c>
      <c r="B74">
        <v>48</v>
      </c>
      <c r="C74" s="1">
        <v>45661</v>
      </c>
      <c r="D74" t="s">
        <v>21</v>
      </c>
      <c r="E74" t="s">
        <v>19</v>
      </c>
      <c r="F74" t="s">
        <v>26</v>
      </c>
      <c r="G74">
        <v>18</v>
      </c>
    </row>
    <row r="75" spans="1:7" x14ac:dyDescent="0.3">
      <c r="A75">
        <v>74</v>
      </c>
      <c r="B75">
        <v>48</v>
      </c>
      <c r="C75" s="1">
        <v>45661</v>
      </c>
      <c r="D75" t="s">
        <v>21</v>
      </c>
      <c r="E75" t="s">
        <v>19</v>
      </c>
      <c r="F75" t="s">
        <v>27</v>
      </c>
      <c r="G75">
        <v>56</v>
      </c>
    </row>
    <row r="76" spans="1:7" x14ac:dyDescent="0.3">
      <c r="A76">
        <v>75</v>
      </c>
      <c r="B76">
        <v>48</v>
      </c>
      <c r="C76" s="1">
        <v>45661</v>
      </c>
      <c r="D76" t="s">
        <v>21</v>
      </c>
      <c r="E76" t="s">
        <v>19</v>
      </c>
      <c r="F76" t="s">
        <v>27</v>
      </c>
      <c r="G76">
        <v>64</v>
      </c>
    </row>
    <row r="77" spans="1:7" x14ac:dyDescent="0.3">
      <c r="A77">
        <v>76</v>
      </c>
      <c r="B77">
        <v>51</v>
      </c>
      <c r="C77" s="1">
        <v>45662</v>
      </c>
      <c r="D77" t="s">
        <v>15</v>
      </c>
      <c r="E77" t="s">
        <v>18</v>
      </c>
      <c r="F77" t="s">
        <v>30</v>
      </c>
      <c r="G77">
        <v>5</v>
      </c>
    </row>
    <row r="78" spans="1:7" x14ac:dyDescent="0.3">
      <c r="A78">
        <v>77</v>
      </c>
      <c r="B78">
        <v>51</v>
      </c>
      <c r="C78" s="1">
        <v>45662</v>
      </c>
      <c r="D78" t="s">
        <v>15</v>
      </c>
      <c r="E78" t="s">
        <v>18</v>
      </c>
      <c r="F78" t="s">
        <v>25</v>
      </c>
      <c r="G78">
        <v>53</v>
      </c>
    </row>
    <row r="79" spans="1:7" x14ac:dyDescent="0.3">
      <c r="A79">
        <v>78</v>
      </c>
      <c r="B79">
        <v>52</v>
      </c>
      <c r="C79" s="1">
        <v>45662</v>
      </c>
      <c r="D79" t="s">
        <v>15</v>
      </c>
      <c r="E79" t="s">
        <v>19</v>
      </c>
      <c r="F79" t="s">
        <v>25</v>
      </c>
      <c r="G79">
        <v>62</v>
      </c>
    </row>
    <row r="80" spans="1:7" x14ac:dyDescent="0.3">
      <c r="A80">
        <v>79</v>
      </c>
      <c r="B80">
        <v>52</v>
      </c>
      <c r="C80" s="1">
        <v>45662</v>
      </c>
      <c r="D80" t="s">
        <v>15</v>
      </c>
      <c r="E80" t="s">
        <v>19</v>
      </c>
      <c r="F80" t="s">
        <v>30</v>
      </c>
      <c r="G80">
        <v>69</v>
      </c>
    </row>
    <row r="81" spans="1:7" x14ac:dyDescent="0.3">
      <c r="A81">
        <v>80</v>
      </c>
      <c r="B81">
        <v>53</v>
      </c>
      <c r="C81" s="1">
        <v>45662</v>
      </c>
      <c r="D81" t="s">
        <v>20</v>
      </c>
      <c r="E81" t="s">
        <v>16</v>
      </c>
      <c r="F81" t="s">
        <v>27</v>
      </c>
      <c r="G81">
        <v>27</v>
      </c>
    </row>
    <row r="82" spans="1:7" x14ac:dyDescent="0.3">
      <c r="A82">
        <v>81</v>
      </c>
      <c r="B82">
        <v>53</v>
      </c>
      <c r="C82" s="1">
        <v>45662</v>
      </c>
      <c r="D82" t="s">
        <v>20</v>
      </c>
      <c r="E82" t="s">
        <v>16</v>
      </c>
      <c r="F82" t="s">
        <v>30</v>
      </c>
      <c r="G82">
        <v>5</v>
      </c>
    </row>
    <row r="83" spans="1:7" x14ac:dyDescent="0.3">
      <c r="A83">
        <v>82</v>
      </c>
      <c r="B83">
        <v>53</v>
      </c>
      <c r="C83" s="1">
        <v>45662</v>
      </c>
      <c r="D83" t="s">
        <v>20</v>
      </c>
      <c r="E83" t="s">
        <v>16</v>
      </c>
      <c r="F83" t="s">
        <v>29</v>
      </c>
      <c r="G83">
        <v>17</v>
      </c>
    </row>
    <row r="84" spans="1:7" x14ac:dyDescent="0.3">
      <c r="A84">
        <v>83</v>
      </c>
      <c r="B84">
        <v>54</v>
      </c>
      <c r="C84" s="1">
        <v>45662</v>
      </c>
      <c r="D84" t="s">
        <v>20</v>
      </c>
      <c r="E84" t="s">
        <v>17</v>
      </c>
      <c r="F84" t="s">
        <v>29</v>
      </c>
      <c r="G84">
        <v>5</v>
      </c>
    </row>
    <row r="85" spans="1:7" x14ac:dyDescent="0.3">
      <c r="A85">
        <v>84</v>
      </c>
      <c r="B85">
        <v>54</v>
      </c>
      <c r="C85" s="1">
        <v>45662</v>
      </c>
      <c r="D85" t="s">
        <v>20</v>
      </c>
      <c r="E85" t="s">
        <v>17</v>
      </c>
      <c r="F85" t="s">
        <v>25</v>
      </c>
      <c r="G85">
        <v>134</v>
      </c>
    </row>
    <row r="86" spans="1:7" x14ac:dyDescent="0.3">
      <c r="A86">
        <v>85</v>
      </c>
      <c r="B86">
        <v>55</v>
      </c>
      <c r="C86" s="1">
        <v>45662</v>
      </c>
      <c r="D86" t="s">
        <v>20</v>
      </c>
      <c r="E86" t="s">
        <v>18</v>
      </c>
      <c r="F86" t="s">
        <v>25</v>
      </c>
      <c r="G86">
        <v>50</v>
      </c>
    </row>
    <row r="87" spans="1:7" x14ac:dyDescent="0.3">
      <c r="A87">
        <v>86</v>
      </c>
      <c r="B87">
        <v>55</v>
      </c>
      <c r="C87" s="1">
        <v>45662</v>
      </c>
      <c r="D87" t="s">
        <v>20</v>
      </c>
      <c r="E87" t="s">
        <v>18</v>
      </c>
      <c r="F87" t="s">
        <v>30</v>
      </c>
      <c r="G87">
        <v>23</v>
      </c>
    </row>
    <row r="88" spans="1:7" x14ac:dyDescent="0.3">
      <c r="A88">
        <v>87</v>
      </c>
      <c r="B88">
        <v>56</v>
      </c>
      <c r="C88" s="1">
        <v>45662</v>
      </c>
      <c r="D88" t="s">
        <v>20</v>
      </c>
      <c r="E88" t="s">
        <v>19</v>
      </c>
      <c r="F88" t="s">
        <v>27</v>
      </c>
      <c r="G88">
        <v>11</v>
      </c>
    </row>
    <row r="89" spans="1:7" x14ac:dyDescent="0.3">
      <c r="A89">
        <v>88</v>
      </c>
      <c r="B89">
        <v>58</v>
      </c>
      <c r="C89" s="1">
        <v>45662</v>
      </c>
      <c r="D89" t="s">
        <v>21</v>
      </c>
      <c r="E89" t="s">
        <v>17</v>
      </c>
      <c r="F89" t="s">
        <v>25</v>
      </c>
      <c r="G89">
        <v>54</v>
      </c>
    </row>
    <row r="90" spans="1:7" x14ac:dyDescent="0.3">
      <c r="A90">
        <v>89</v>
      </c>
      <c r="B90">
        <v>59</v>
      </c>
      <c r="C90" s="1">
        <v>45662</v>
      </c>
      <c r="D90" t="s">
        <v>21</v>
      </c>
      <c r="E90" t="s">
        <v>18</v>
      </c>
      <c r="F90" t="s">
        <v>25</v>
      </c>
      <c r="G90">
        <v>194</v>
      </c>
    </row>
    <row r="91" spans="1:7" x14ac:dyDescent="0.3">
      <c r="A91">
        <v>90</v>
      </c>
      <c r="B91">
        <v>60</v>
      </c>
      <c r="C91" s="1">
        <v>45662</v>
      </c>
      <c r="D91" t="s">
        <v>21</v>
      </c>
      <c r="E91" t="s">
        <v>19</v>
      </c>
      <c r="F91" t="s">
        <v>25</v>
      </c>
      <c r="G91">
        <v>67</v>
      </c>
    </row>
    <row r="92" spans="1:7" x14ac:dyDescent="0.3">
      <c r="A92">
        <v>91</v>
      </c>
      <c r="B92">
        <v>60</v>
      </c>
      <c r="C92" s="1">
        <v>45662</v>
      </c>
      <c r="D92" t="s">
        <v>21</v>
      </c>
      <c r="E92" t="s">
        <v>19</v>
      </c>
      <c r="F92" t="s">
        <v>27</v>
      </c>
      <c r="G92">
        <v>11</v>
      </c>
    </row>
    <row r="93" spans="1:7" x14ac:dyDescent="0.3">
      <c r="A93">
        <v>92</v>
      </c>
      <c r="B93">
        <v>60</v>
      </c>
      <c r="C93" s="1">
        <v>45662</v>
      </c>
      <c r="D93" t="s">
        <v>21</v>
      </c>
      <c r="E93" t="s">
        <v>19</v>
      </c>
      <c r="F93" t="s">
        <v>29</v>
      </c>
      <c r="G93">
        <v>5</v>
      </c>
    </row>
    <row r="94" spans="1:7" x14ac:dyDescent="0.3">
      <c r="A94">
        <v>93</v>
      </c>
      <c r="B94">
        <v>60</v>
      </c>
      <c r="C94" s="1">
        <v>45662</v>
      </c>
      <c r="D94" t="s">
        <v>21</v>
      </c>
      <c r="E94" t="s">
        <v>19</v>
      </c>
      <c r="F94" t="s">
        <v>27</v>
      </c>
      <c r="G94">
        <v>5</v>
      </c>
    </row>
    <row r="95" spans="1:7" x14ac:dyDescent="0.3">
      <c r="A95">
        <v>94</v>
      </c>
      <c r="B95">
        <v>62</v>
      </c>
      <c r="C95" s="1">
        <v>45663</v>
      </c>
      <c r="D95" t="s">
        <v>15</v>
      </c>
      <c r="E95" t="s">
        <v>17</v>
      </c>
      <c r="F95" t="s">
        <v>25</v>
      </c>
      <c r="G95">
        <v>91</v>
      </c>
    </row>
    <row r="96" spans="1:7" x14ac:dyDescent="0.3">
      <c r="A96">
        <v>95</v>
      </c>
      <c r="B96">
        <v>62</v>
      </c>
      <c r="C96" s="1">
        <v>45663</v>
      </c>
      <c r="D96" t="s">
        <v>15</v>
      </c>
      <c r="E96" t="s">
        <v>17</v>
      </c>
      <c r="F96" t="s">
        <v>25</v>
      </c>
      <c r="G96">
        <v>148</v>
      </c>
    </row>
    <row r="97" spans="1:7" x14ac:dyDescent="0.3">
      <c r="A97">
        <v>96</v>
      </c>
      <c r="B97">
        <v>62</v>
      </c>
      <c r="C97" s="1">
        <v>45663</v>
      </c>
      <c r="D97" t="s">
        <v>15</v>
      </c>
      <c r="E97" t="s">
        <v>17</v>
      </c>
      <c r="F97" t="s">
        <v>25</v>
      </c>
      <c r="G97">
        <v>157</v>
      </c>
    </row>
    <row r="98" spans="1:7" x14ac:dyDescent="0.3">
      <c r="A98">
        <v>97</v>
      </c>
      <c r="B98">
        <v>63</v>
      </c>
      <c r="C98" s="1">
        <v>45663</v>
      </c>
      <c r="D98" t="s">
        <v>15</v>
      </c>
      <c r="E98" t="s">
        <v>18</v>
      </c>
      <c r="F98" t="s">
        <v>27</v>
      </c>
      <c r="G98">
        <v>69</v>
      </c>
    </row>
    <row r="99" spans="1:7" x14ac:dyDescent="0.3">
      <c r="A99">
        <v>98</v>
      </c>
      <c r="B99">
        <v>63</v>
      </c>
      <c r="C99" s="1">
        <v>45663</v>
      </c>
      <c r="D99" t="s">
        <v>15</v>
      </c>
      <c r="E99" t="s">
        <v>18</v>
      </c>
      <c r="F99" t="s">
        <v>27</v>
      </c>
      <c r="G99">
        <v>19</v>
      </c>
    </row>
    <row r="100" spans="1:7" x14ac:dyDescent="0.3">
      <c r="A100">
        <v>99</v>
      </c>
      <c r="B100">
        <v>64</v>
      </c>
      <c r="C100" s="1">
        <v>45663</v>
      </c>
      <c r="D100" t="s">
        <v>15</v>
      </c>
      <c r="E100" t="s">
        <v>19</v>
      </c>
      <c r="F100" t="s">
        <v>25</v>
      </c>
      <c r="G100">
        <v>135</v>
      </c>
    </row>
    <row r="101" spans="1:7" x14ac:dyDescent="0.3">
      <c r="A101">
        <v>100</v>
      </c>
      <c r="B101">
        <v>64</v>
      </c>
      <c r="C101" s="1">
        <v>45663</v>
      </c>
      <c r="D101" t="s">
        <v>15</v>
      </c>
      <c r="E101" t="s">
        <v>19</v>
      </c>
      <c r="F101" t="s">
        <v>29</v>
      </c>
      <c r="G101">
        <v>15</v>
      </c>
    </row>
    <row r="102" spans="1:7" x14ac:dyDescent="0.3">
      <c r="A102">
        <v>101</v>
      </c>
      <c r="B102">
        <v>64</v>
      </c>
      <c r="C102" s="1">
        <v>45663</v>
      </c>
      <c r="D102" t="s">
        <v>15</v>
      </c>
      <c r="E102" t="s">
        <v>19</v>
      </c>
      <c r="F102" t="s">
        <v>26</v>
      </c>
      <c r="G102">
        <v>9</v>
      </c>
    </row>
    <row r="103" spans="1:7" x14ac:dyDescent="0.3">
      <c r="A103">
        <v>102</v>
      </c>
      <c r="B103">
        <v>65</v>
      </c>
      <c r="C103" s="1">
        <v>45663</v>
      </c>
      <c r="D103" t="s">
        <v>20</v>
      </c>
      <c r="E103" t="s">
        <v>16</v>
      </c>
      <c r="F103" t="s">
        <v>25</v>
      </c>
      <c r="G103">
        <v>164</v>
      </c>
    </row>
    <row r="104" spans="1:7" x14ac:dyDescent="0.3">
      <c r="A104">
        <v>103</v>
      </c>
      <c r="B104">
        <v>66</v>
      </c>
      <c r="C104" s="1">
        <v>45663</v>
      </c>
      <c r="D104" t="s">
        <v>20</v>
      </c>
      <c r="E104" t="s">
        <v>17</v>
      </c>
      <c r="F104" t="s">
        <v>30</v>
      </c>
      <c r="G104">
        <v>17</v>
      </c>
    </row>
    <row r="105" spans="1:7" x14ac:dyDescent="0.3">
      <c r="A105">
        <v>104</v>
      </c>
      <c r="B105">
        <v>67</v>
      </c>
      <c r="C105" s="1">
        <v>45663</v>
      </c>
      <c r="D105" t="s">
        <v>20</v>
      </c>
      <c r="E105" t="s">
        <v>18</v>
      </c>
      <c r="F105" t="s">
        <v>28</v>
      </c>
      <c r="G105">
        <v>120</v>
      </c>
    </row>
    <row r="106" spans="1:7" x14ac:dyDescent="0.3">
      <c r="A106">
        <v>105</v>
      </c>
      <c r="B106">
        <v>67</v>
      </c>
      <c r="C106" s="1">
        <v>45663</v>
      </c>
      <c r="D106" t="s">
        <v>20</v>
      </c>
      <c r="E106" t="s">
        <v>18</v>
      </c>
      <c r="F106" t="s">
        <v>25</v>
      </c>
      <c r="G106">
        <v>5</v>
      </c>
    </row>
    <row r="107" spans="1:7" x14ac:dyDescent="0.3">
      <c r="A107">
        <v>106</v>
      </c>
      <c r="B107">
        <v>67</v>
      </c>
      <c r="C107" s="1">
        <v>45663</v>
      </c>
      <c r="D107" t="s">
        <v>20</v>
      </c>
      <c r="E107" t="s">
        <v>18</v>
      </c>
      <c r="F107" t="s">
        <v>27</v>
      </c>
      <c r="G107">
        <v>33</v>
      </c>
    </row>
    <row r="108" spans="1:7" x14ac:dyDescent="0.3">
      <c r="A108">
        <v>107</v>
      </c>
      <c r="B108">
        <v>67</v>
      </c>
      <c r="C108" s="1">
        <v>45663</v>
      </c>
      <c r="D108" t="s">
        <v>20</v>
      </c>
      <c r="E108" t="s">
        <v>18</v>
      </c>
      <c r="F108" t="s">
        <v>28</v>
      </c>
      <c r="G108">
        <v>9</v>
      </c>
    </row>
    <row r="109" spans="1:7" x14ac:dyDescent="0.3">
      <c r="A109">
        <v>108</v>
      </c>
      <c r="B109">
        <v>68</v>
      </c>
      <c r="C109" s="1">
        <v>45663</v>
      </c>
      <c r="D109" t="s">
        <v>20</v>
      </c>
      <c r="E109" t="s">
        <v>19</v>
      </c>
      <c r="F109" t="s">
        <v>25</v>
      </c>
      <c r="G109">
        <v>5</v>
      </c>
    </row>
    <row r="110" spans="1:7" x14ac:dyDescent="0.3">
      <c r="A110">
        <v>109</v>
      </c>
      <c r="B110">
        <v>68</v>
      </c>
      <c r="C110" s="1">
        <v>45663</v>
      </c>
      <c r="D110" t="s">
        <v>20</v>
      </c>
      <c r="E110" t="s">
        <v>19</v>
      </c>
      <c r="F110" t="s">
        <v>29</v>
      </c>
      <c r="G110">
        <v>41</v>
      </c>
    </row>
    <row r="111" spans="1:7" x14ac:dyDescent="0.3">
      <c r="A111">
        <v>110</v>
      </c>
      <c r="B111">
        <v>68</v>
      </c>
      <c r="C111" s="1">
        <v>45663</v>
      </c>
      <c r="D111" t="s">
        <v>20</v>
      </c>
      <c r="E111" t="s">
        <v>19</v>
      </c>
      <c r="F111" t="s">
        <v>28</v>
      </c>
      <c r="G111">
        <v>341</v>
      </c>
    </row>
    <row r="112" spans="1:7" x14ac:dyDescent="0.3">
      <c r="A112">
        <v>111</v>
      </c>
      <c r="B112">
        <v>68</v>
      </c>
      <c r="C112" s="1">
        <v>45663</v>
      </c>
      <c r="D112" t="s">
        <v>20</v>
      </c>
      <c r="E112" t="s">
        <v>19</v>
      </c>
      <c r="F112" t="s">
        <v>27</v>
      </c>
      <c r="G112">
        <v>29</v>
      </c>
    </row>
    <row r="113" spans="1:7" x14ac:dyDescent="0.3">
      <c r="A113">
        <v>112</v>
      </c>
      <c r="B113">
        <v>69</v>
      </c>
      <c r="C113" s="1">
        <v>45663</v>
      </c>
      <c r="D113" t="s">
        <v>21</v>
      </c>
      <c r="E113" t="s">
        <v>16</v>
      </c>
      <c r="F113" t="s">
        <v>25</v>
      </c>
      <c r="G113">
        <v>138</v>
      </c>
    </row>
    <row r="114" spans="1:7" x14ac:dyDescent="0.3">
      <c r="A114">
        <v>113</v>
      </c>
      <c r="B114">
        <v>70</v>
      </c>
      <c r="C114" s="1">
        <v>45663</v>
      </c>
      <c r="D114" t="s">
        <v>21</v>
      </c>
      <c r="E114" t="s">
        <v>17</v>
      </c>
      <c r="F114" t="s">
        <v>25</v>
      </c>
      <c r="G114">
        <v>50</v>
      </c>
    </row>
    <row r="115" spans="1:7" x14ac:dyDescent="0.3">
      <c r="A115">
        <v>114</v>
      </c>
      <c r="B115">
        <v>70</v>
      </c>
      <c r="C115" s="1">
        <v>45663</v>
      </c>
      <c r="D115" t="s">
        <v>21</v>
      </c>
      <c r="E115" t="s">
        <v>17</v>
      </c>
      <c r="F115" t="s">
        <v>27</v>
      </c>
      <c r="G115">
        <v>29</v>
      </c>
    </row>
    <row r="116" spans="1:7" x14ac:dyDescent="0.3">
      <c r="A116">
        <v>115</v>
      </c>
      <c r="B116">
        <v>71</v>
      </c>
      <c r="C116" s="1">
        <v>45663</v>
      </c>
      <c r="D116" t="s">
        <v>21</v>
      </c>
      <c r="E116" t="s">
        <v>18</v>
      </c>
      <c r="F116" t="s">
        <v>25</v>
      </c>
      <c r="G116">
        <v>5</v>
      </c>
    </row>
    <row r="117" spans="1:7" x14ac:dyDescent="0.3">
      <c r="A117">
        <v>116</v>
      </c>
      <c r="B117">
        <v>71</v>
      </c>
      <c r="C117" s="1">
        <v>45663</v>
      </c>
      <c r="D117" t="s">
        <v>21</v>
      </c>
      <c r="E117" t="s">
        <v>18</v>
      </c>
      <c r="F117" t="s">
        <v>30</v>
      </c>
      <c r="G117">
        <v>14</v>
      </c>
    </row>
    <row r="118" spans="1:7" x14ac:dyDescent="0.3">
      <c r="A118">
        <v>117</v>
      </c>
      <c r="B118">
        <v>71</v>
      </c>
      <c r="C118" s="1">
        <v>45663</v>
      </c>
      <c r="D118" t="s">
        <v>21</v>
      </c>
      <c r="E118" t="s">
        <v>18</v>
      </c>
      <c r="F118" t="s">
        <v>26</v>
      </c>
      <c r="G118">
        <v>7</v>
      </c>
    </row>
    <row r="119" spans="1:7" x14ac:dyDescent="0.3">
      <c r="A119">
        <v>118</v>
      </c>
      <c r="B119">
        <v>72</v>
      </c>
      <c r="C119" s="1">
        <v>45663</v>
      </c>
      <c r="D119" t="s">
        <v>21</v>
      </c>
      <c r="E119" t="s">
        <v>19</v>
      </c>
      <c r="F119" t="s">
        <v>27</v>
      </c>
      <c r="G119">
        <v>11</v>
      </c>
    </row>
    <row r="120" spans="1:7" x14ac:dyDescent="0.3">
      <c r="A120">
        <v>119</v>
      </c>
      <c r="B120">
        <v>73</v>
      </c>
      <c r="C120" s="1">
        <v>45664</v>
      </c>
      <c r="D120" t="s">
        <v>15</v>
      </c>
      <c r="E120" t="s">
        <v>16</v>
      </c>
      <c r="F120" t="s">
        <v>26</v>
      </c>
      <c r="G120">
        <v>59</v>
      </c>
    </row>
    <row r="121" spans="1:7" x14ac:dyDescent="0.3">
      <c r="A121">
        <v>120</v>
      </c>
      <c r="B121">
        <v>73</v>
      </c>
      <c r="C121" s="1">
        <v>45664</v>
      </c>
      <c r="D121" t="s">
        <v>15</v>
      </c>
      <c r="E121" t="s">
        <v>16</v>
      </c>
      <c r="F121" t="s">
        <v>28</v>
      </c>
      <c r="G121">
        <v>9</v>
      </c>
    </row>
    <row r="122" spans="1:7" x14ac:dyDescent="0.3">
      <c r="A122">
        <v>121</v>
      </c>
      <c r="B122">
        <v>74</v>
      </c>
      <c r="C122" s="1">
        <v>45664</v>
      </c>
      <c r="D122" t="s">
        <v>15</v>
      </c>
      <c r="E122" t="s">
        <v>17</v>
      </c>
      <c r="F122" t="s">
        <v>28</v>
      </c>
      <c r="G122">
        <v>40</v>
      </c>
    </row>
    <row r="123" spans="1:7" x14ac:dyDescent="0.3">
      <c r="A123">
        <v>122</v>
      </c>
      <c r="B123">
        <v>75</v>
      </c>
      <c r="C123" s="1">
        <v>45664</v>
      </c>
      <c r="D123" t="s">
        <v>15</v>
      </c>
      <c r="E123" t="s">
        <v>18</v>
      </c>
      <c r="F123" t="s">
        <v>25</v>
      </c>
      <c r="G123">
        <v>6</v>
      </c>
    </row>
    <row r="124" spans="1:7" x14ac:dyDescent="0.3">
      <c r="A124">
        <v>123</v>
      </c>
      <c r="B124">
        <v>76</v>
      </c>
      <c r="C124" s="1">
        <v>45664</v>
      </c>
      <c r="D124" t="s">
        <v>15</v>
      </c>
      <c r="E124" t="s">
        <v>19</v>
      </c>
      <c r="F124" t="s">
        <v>25</v>
      </c>
      <c r="G124">
        <v>102</v>
      </c>
    </row>
    <row r="125" spans="1:7" x14ac:dyDescent="0.3">
      <c r="A125">
        <v>124</v>
      </c>
      <c r="B125">
        <v>81</v>
      </c>
      <c r="C125" s="1">
        <v>45664</v>
      </c>
      <c r="D125" t="s">
        <v>21</v>
      </c>
      <c r="E125" t="s">
        <v>16</v>
      </c>
      <c r="F125" t="s">
        <v>30</v>
      </c>
      <c r="G125">
        <v>14</v>
      </c>
    </row>
    <row r="126" spans="1:7" x14ac:dyDescent="0.3">
      <c r="A126">
        <v>125</v>
      </c>
      <c r="B126">
        <v>82</v>
      </c>
      <c r="C126" s="1">
        <v>45664</v>
      </c>
      <c r="D126" t="s">
        <v>21</v>
      </c>
      <c r="E126" t="s">
        <v>17</v>
      </c>
      <c r="F126" t="s">
        <v>25</v>
      </c>
      <c r="G126">
        <v>73</v>
      </c>
    </row>
    <row r="127" spans="1:7" x14ac:dyDescent="0.3">
      <c r="A127">
        <v>126</v>
      </c>
      <c r="B127">
        <v>84</v>
      </c>
      <c r="C127" s="1">
        <v>45664</v>
      </c>
      <c r="D127" t="s">
        <v>21</v>
      </c>
      <c r="E127" t="s">
        <v>19</v>
      </c>
      <c r="F127" t="s">
        <v>26</v>
      </c>
      <c r="G127">
        <v>5</v>
      </c>
    </row>
    <row r="128" spans="1:7" x14ac:dyDescent="0.3">
      <c r="A128">
        <v>127</v>
      </c>
      <c r="B128">
        <v>84</v>
      </c>
      <c r="C128" s="1">
        <v>45664</v>
      </c>
      <c r="D128" t="s">
        <v>21</v>
      </c>
      <c r="E128" t="s">
        <v>19</v>
      </c>
      <c r="F128" t="s">
        <v>25</v>
      </c>
      <c r="G128">
        <v>56</v>
      </c>
    </row>
    <row r="129" spans="1:7" x14ac:dyDescent="0.3">
      <c r="A129">
        <v>128</v>
      </c>
      <c r="B129">
        <v>85</v>
      </c>
      <c r="C129" s="1">
        <v>45665</v>
      </c>
      <c r="D129" t="s">
        <v>15</v>
      </c>
      <c r="E129" t="s">
        <v>16</v>
      </c>
      <c r="F129" t="s">
        <v>27</v>
      </c>
      <c r="G129">
        <v>15</v>
      </c>
    </row>
    <row r="130" spans="1:7" x14ac:dyDescent="0.3">
      <c r="A130">
        <v>129</v>
      </c>
      <c r="B130">
        <v>86</v>
      </c>
      <c r="C130" s="1">
        <v>45665</v>
      </c>
      <c r="D130" t="s">
        <v>15</v>
      </c>
      <c r="E130" t="s">
        <v>17</v>
      </c>
      <c r="F130" t="s">
        <v>25</v>
      </c>
      <c r="G130">
        <v>10</v>
      </c>
    </row>
    <row r="131" spans="1:7" x14ac:dyDescent="0.3">
      <c r="A131">
        <v>130</v>
      </c>
      <c r="B131">
        <v>87</v>
      </c>
      <c r="C131" s="1">
        <v>45665</v>
      </c>
      <c r="D131" t="s">
        <v>15</v>
      </c>
      <c r="E131" t="s">
        <v>18</v>
      </c>
      <c r="F131" t="s">
        <v>25</v>
      </c>
      <c r="G131">
        <v>34</v>
      </c>
    </row>
    <row r="132" spans="1:7" x14ac:dyDescent="0.3">
      <c r="A132">
        <v>131</v>
      </c>
      <c r="B132">
        <v>87</v>
      </c>
      <c r="C132" s="1">
        <v>45665</v>
      </c>
      <c r="D132" t="s">
        <v>15</v>
      </c>
      <c r="E132" t="s">
        <v>18</v>
      </c>
      <c r="F132" t="s">
        <v>27</v>
      </c>
      <c r="G132">
        <v>27</v>
      </c>
    </row>
    <row r="133" spans="1:7" x14ac:dyDescent="0.3">
      <c r="A133">
        <v>132</v>
      </c>
      <c r="B133">
        <v>87</v>
      </c>
      <c r="C133" s="1">
        <v>45665</v>
      </c>
      <c r="D133" t="s">
        <v>15</v>
      </c>
      <c r="E133" t="s">
        <v>18</v>
      </c>
      <c r="F133" t="s">
        <v>27</v>
      </c>
      <c r="G133">
        <v>5</v>
      </c>
    </row>
    <row r="134" spans="1:7" x14ac:dyDescent="0.3">
      <c r="A134">
        <v>133</v>
      </c>
      <c r="B134">
        <v>87</v>
      </c>
      <c r="C134" s="1">
        <v>45665</v>
      </c>
      <c r="D134" t="s">
        <v>15</v>
      </c>
      <c r="E134" t="s">
        <v>18</v>
      </c>
      <c r="F134" t="s">
        <v>25</v>
      </c>
      <c r="G134">
        <v>20</v>
      </c>
    </row>
    <row r="135" spans="1:7" x14ac:dyDescent="0.3">
      <c r="A135">
        <v>134</v>
      </c>
      <c r="B135">
        <v>88</v>
      </c>
      <c r="C135" s="1">
        <v>45665</v>
      </c>
      <c r="D135" t="s">
        <v>15</v>
      </c>
      <c r="E135" t="s">
        <v>19</v>
      </c>
      <c r="F135" t="s">
        <v>25</v>
      </c>
      <c r="G135">
        <v>5</v>
      </c>
    </row>
    <row r="136" spans="1:7" x14ac:dyDescent="0.3">
      <c r="A136">
        <v>135</v>
      </c>
      <c r="B136">
        <v>88</v>
      </c>
      <c r="C136" s="1">
        <v>45665</v>
      </c>
      <c r="D136" t="s">
        <v>15</v>
      </c>
      <c r="E136" t="s">
        <v>19</v>
      </c>
      <c r="F136" t="s">
        <v>25</v>
      </c>
      <c r="G136">
        <v>12</v>
      </c>
    </row>
    <row r="137" spans="1:7" x14ac:dyDescent="0.3">
      <c r="A137">
        <v>136</v>
      </c>
      <c r="B137">
        <v>89</v>
      </c>
      <c r="C137" s="1">
        <v>45665</v>
      </c>
      <c r="D137" t="s">
        <v>20</v>
      </c>
      <c r="E137" t="s">
        <v>16</v>
      </c>
      <c r="F137" t="s">
        <v>29</v>
      </c>
      <c r="G137">
        <v>5</v>
      </c>
    </row>
    <row r="138" spans="1:7" x14ac:dyDescent="0.3">
      <c r="A138">
        <v>137</v>
      </c>
      <c r="B138">
        <v>90</v>
      </c>
      <c r="C138" s="1">
        <v>45665</v>
      </c>
      <c r="D138" t="s">
        <v>20</v>
      </c>
      <c r="E138" t="s">
        <v>17</v>
      </c>
      <c r="F138" t="s">
        <v>27</v>
      </c>
      <c r="G138">
        <v>69</v>
      </c>
    </row>
    <row r="139" spans="1:7" x14ac:dyDescent="0.3">
      <c r="A139">
        <v>138</v>
      </c>
      <c r="B139">
        <v>91</v>
      </c>
      <c r="C139" s="1">
        <v>45665</v>
      </c>
      <c r="D139" t="s">
        <v>20</v>
      </c>
      <c r="E139" t="s">
        <v>18</v>
      </c>
      <c r="F139" t="s">
        <v>26</v>
      </c>
      <c r="G139">
        <v>79</v>
      </c>
    </row>
    <row r="140" spans="1:7" x14ac:dyDescent="0.3">
      <c r="A140">
        <v>139</v>
      </c>
      <c r="B140">
        <v>92</v>
      </c>
      <c r="C140" s="1">
        <v>45665</v>
      </c>
      <c r="D140" t="s">
        <v>20</v>
      </c>
      <c r="E140" t="s">
        <v>19</v>
      </c>
      <c r="F140" t="s">
        <v>25</v>
      </c>
      <c r="G140">
        <v>17</v>
      </c>
    </row>
    <row r="141" spans="1:7" x14ac:dyDescent="0.3">
      <c r="A141">
        <v>140</v>
      </c>
      <c r="B141">
        <v>93</v>
      </c>
      <c r="C141" s="1">
        <v>45665</v>
      </c>
      <c r="D141" t="s">
        <v>21</v>
      </c>
      <c r="E141" t="s">
        <v>16</v>
      </c>
      <c r="F141" t="s">
        <v>26</v>
      </c>
      <c r="G141">
        <v>10</v>
      </c>
    </row>
    <row r="142" spans="1:7" x14ac:dyDescent="0.3">
      <c r="A142">
        <v>141</v>
      </c>
      <c r="B142">
        <v>94</v>
      </c>
      <c r="C142" s="1">
        <v>45665</v>
      </c>
      <c r="D142" t="s">
        <v>21</v>
      </c>
      <c r="E142" t="s">
        <v>17</v>
      </c>
      <c r="F142" t="s">
        <v>25</v>
      </c>
      <c r="G142">
        <v>6</v>
      </c>
    </row>
    <row r="143" spans="1:7" x14ac:dyDescent="0.3">
      <c r="A143">
        <v>142</v>
      </c>
      <c r="B143">
        <v>94</v>
      </c>
      <c r="C143" s="1">
        <v>45665</v>
      </c>
      <c r="D143" t="s">
        <v>21</v>
      </c>
      <c r="E143" t="s">
        <v>17</v>
      </c>
      <c r="F143" t="s">
        <v>25</v>
      </c>
      <c r="G143">
        <v>207</v>
      </c>
    </row>
    <row r="144" spans="1:7" x14ac:dyDescent="0.3">
      <c r="A144">
        <v>143</v>
      </c>
      <c r="B144">
        <v>95</v>
      </c>
      <c r="C144" s="1">
        <v>45665</v>
      </c>
      <c r="D144" t="s">
        <v>21</v>
      </c>
      <c r="E144" t="s">
        <v>18</v>
      </c>
      <c r="F144" t="s">
        <v>30</v>
      </c>
      <c r="G144">
        <v>13</v>
      </c>
    </row>
    <row r="145" spans="1:7" x14ac:dyDescent="0.3">
      <c r="A145">
        <v>144</v>
      </c>
      <c r="B145">
        <v>96</v>
      </c>
      <c r="C145" s="1">
        <v>45665</v>
      </c>
      <c r="D145" t="s">
        <v>21</v>
      </c>
      <c r="E145" t="s">
        <v>19</v>
      </c>
      <c r="F145" t="s">
        <v>26</v>
      </c>
      <c r="G145">
        <v>83</v>
      </c>
    </row>
    <row r="146" spans="1:7" x14ac:dyDescent="0.3">
      <c r="A146">
        <v>145</v>
      </c>
      <c r="B146">
        <v>96</v>
      </c>
      <c r="C146" s="1">
        <v>45665</v>
      </c>
      <c r="D146" t="s">
        <v>21</v>
      </c>
      <c r="E146" t="s">
        <v>19</v>
      </c>
      <c r="F146" t="s">
        <v>25</v>
      </c>
      <c r="G146">
        <v>5</v>
      </c>
    </row>
    <row r="147" spans="1:7" x14ac:dyDescent="0.3">
      <c r="A147">
        <v>146</v>
      </c>
      <c r="B147">
        <v>96</v>
      </c>
      <c r="C147" s="1">
        <v>45665</v>
      </c>
      <c r="D147" t="s">
        <v>21</v>
      </c>
      <c r="E147" t="s">
        <v>19</v>
      </c>
      <c r="F147" t="s">
        <v>26</v>
      </c>
      <c r="G147">
        <v>25</v>
      </c>
    </row>
    <row r="148" spans="1:7" x14ac:dyDescent="0.3">
      <c r="A148">
        <v>147</v>
      </c>
      <c r="B148">
        <v>96</v>
      </c>
      <c r="C148" s="1">
        <v>45665</v>
      </c>
      <c r="D148" t="s">
        <v>21</v>
      </c>
      <c r="E148" t="s">
        <v>19</v>
      </c>
      <c r="F148" t="s">
        <v>30</v>
      </c>
      <c r="G148">
        <v>5</v>
      </c>
    </row>
    <row r="149" spans="1:7" x14ac:dyDescent="0.3">
      <c r="A149">
        <v>148</v>
      </c>
      <c r="B149">
        <v>98</v>
      </c>
      <c r="C149" s="1">
        <v>45666</v>
      </c>
      <c r="D149" t="s">
        <v>15</v>
      </c>
      <c r="E149" t="s">
        <v>17</v>
      </c>
      <c r="F149" t="s">
        <v>29</v>
      </c>
      <c r="G149">
        <v>12</v>
      </c>
    </row>
    <row r="150" spans="1:7" x14ac:dyDescent="0.3">
      <c r="A150">
        <v>149</v>
      </c>
      <c r="B150">
        <v>98</v>
      </c>
      <c r="C150" s="1">
        <v>45666</v>
      </c>
      <c r="D150" t="s">
        <v>15</v>
      </c>
      <c r="E150" t="s">
        <v>17</v>
      </c>
      <c r="F150" t="s">
        <v>30</v>
      </c>
      <c r="G150">
        <v>8</v>
      </c>
    </row>
    <row r="151" spans="1:7" x14ac:dyDescent="0.3">
      <c r="A151">
        <v>150</v>
      </c>
      <c r="B151">
        <v>99</v>
      </c>
      <c r="C151" s="1">
        <v>45666</v>
      </c>
      <c r="D151" t="s">
        <v>15</v>
      </c>
      <c r="E151" t="s">
        <v>18</v>
      </c>
      <c r="F151" t="s">
        <v>25</v>
      </c>
      <c r="G151">
        <v>103</v>
      </c>
    </row>
    <row r="152" spans="1:7" x14ac:dyDescent="0.3">
      <c r="A152">
        <v>151</v>
      </c>
      <c r="B152">
        <v>99</v>
      </c>
      <c r="C152" s="1">
        <v>45666</v>
      </c>
      <c r="D152" t="s">
        <v>15</v>
      </c>
      <c r="E152" t="s">
        <v>18</v>
      </c>
      <c r="F152" t="s">
        <v>27</v>
      </c>
      <c r="G152">
        <v>15</v>
      </c>
    </row>
    <row r="153" spans="1:7" x14ac:dyDescent="0.3">
      <c r="A153">
        <v>152</v>
      </c>
      <c r="B153">
        <v>101</v>
      </c>
      <c r="C153" s="1">
        <v>45666</v>
      </c>
      <c r="D153" t="s">
        <v>20</v>
      </c>
      <c r="E153" t="s">
        <v>16</v>
      </c>
      <c r="F153" t="s">
        <v>30</v>
      </c>
      <c r="G153">
        <v>14</v>
      </c>
    </row>
    <row r="154" spans="1:7" x14ac:dyDescent="0.3">
      <c r="A154">
        <v>153</v>
      </c>
      <c r="B154">
        <v>102</v>
      </c>
      <c r="C154" s="1">
        <v>45666</v>
      </c>
      <c r="D154" t="s">
        <v>20</v>
      </c>
      <c r="E154" t="s">
        <v>17</v>
      </c>
      <c r="F154" t="s">
        <v>25</v>
      </c>
      <c r="G154">
        <v>12</v>
      </c>
    </row>
    <row r="155" spans="1:7" x14ac:dyDescent="0.3">
      <c r="A155">
        <v>154</v>
      </c>
      <c r="B155">
        <v>103</v>
      </c>
      <c r="C155" s="1">
        <v>45666</v>
      </c>
      <c r="D155" t="s">
        <v>20</v>
      </c>
      <c r="E155" t="s">
        <v>18</v>
      </c>
      <c r="F155" t="s">
        <v>30</v>
      </c>
      <c r="G155">
        <v>5</v>
      </c>
    </row>
    <row r="156" spans="1:7" x14ac:dyDescent="0.3">
      <c r="A156">
        <v>155</v>
      </c>
      <c r="B156">
        <v>103</v>
      </c>
      <c r="C156" s="1">
        <v>45666</v>
      </c>
      <c r="D156" t="s">
        <v>20</v>
      </c>
      <c r="E156" t="s">
        <v>18</v>
      </c>
      <c r="F156" t="s">
        <v>30</v>
      </c>
      <c r="G156">
        <v>5</v>
      </c>
    </row>
    <row r="157" spans="1:7" x14ac:dyDescent="0.3">
      <c r="A157">
        <v>156</v>
      </c>
      <c r="B157">
        <v>103</v>
      </c>
      <c r="C157" s="1">
        <v>45666</v>
      </c>
      <c r="D157" t="s">
        <v>20</v>
      </c>
      <c r="E157" t="s">
        <v>18</v>
      </c>
      <c r="F157" t="s">
        <v>27</v>
      </c>
      <c r="G157">
        <v>31</v>
      </c>
    </row>
    <row r="158" spans="1:7" x14ac:dyDescent="0.3">
      <c r="A158">
        <v>157</v>
      </c>
      <c r="B158">
        <v>104</v>
      </c>
      <c r="C158" s="1">
        <v>45666</v>
      </c>
      <c r="D158" t="s">
        <v>20</v>
      </c>
      <c r="E158" t="s">
        <v>19</v>
      </c>
      <c r="F158" t="s">
        <v>25</v>
      </c>
      <c r="G158">
        <v>19</v>
      </c>
    </row>
    <row r="159" spans="1:7" x14ac:dyDescent="0.3">
      <c r="A159">
        <v>158</v>
      </c>
      <c r="B159">
        <v>104</v>
      </c>
      <c r="C159" s="1">
        <v>45666</v>
      </c>
      <c r="D159" t="s">
        <v>20</v>
      </c>
      <c r="E159" t="s">
        <v>19</v>
      </c>
      <c r="F159" t="s">
        <v>25</v>
      </c>
      <c r="G159">
        <v>107</v>
      </c>
    </row>
    <row r="160" spans="1:7" x14ac:dyDescent="0.3">
      <c r="A160">
        <v>159</v>
      </c>
      <c r="B160">
        <v>104</v>
      </c>
      <c r="C160" s="1">
        <v>45666</v>
      </c>
      <c r="D160" t="s">
        <v>20</v>
      </c>
      <c r="E160" t="s">
        <v>19</v>
      </c>
      <c r="F160" t="s">
        <v>27</v>
      </c>
      <c r="G160">
        <v>10</v>
      </c>
    </row>
    <row r="161" spans="1:7" x14ac:dyDescent="0.3">
      <c r="A161">
        <v>160</v>
      </c>
      <c r="B161">
        <v>104</v>
      </c>
      <c r="C161" s="1">
        <v>45666</v>
      </c>
      <c r="D161" t="s">
        <v>20</v>
      </c>
      <c r="E161" t="s">
        <v>19</v>
      </c>
      <c r="F161" t="s">
        <v>27</v>
      </c>
      <c r="G161">
        <v>58</v>
      </c>
    </row>
    <row r="162" spans="1:7" x14ac:dyDescent="0.3">
      <c r="A162">
        <v>161</v>
      </c>
      <c r="B162">
        <v>105</v>
      </c>
      <c r="C162" s="1">
        <v>45666</v>
      </c>
      <c r="D162" t="s">
        <v>21</v>
      </c>
      <c r="E162" t="s">
        <v>16</v>
      </c>
      <c r="F162" t="s">
        <v>29</v>
      </c>
      <c r="G162">
        <v>67</v>
      </c>
    </row>
    <row r="163" spans="1:7" x14ac:dyDescent="0.3">
      <c r="A163">
        <v>162</v>
      </c>
      <c r="B163">
        <v>105</v>
      </c>
      <c r="C163" s="1">
        <v>45666</v>
      </c>
      <c r="D163" t="s">
        <v>21</v>
      </c>
      <c r="E163" t="s">
        <v>16</v>
      </c>
      <c r="F163" t="s">
        <v>27</v>
      </c>
      <c r="G163">
        <v>23</v>
      </c>
    </row>
    <row r="164" spans="1:7" x14ac:dyDescent="0.3">
      <c r="A164">
        <v>163</v>
      </c>
      <c r="B164">
        <v>107</v>
      </c>
      <c r="C164" s="1">
        <v>45666</v>
      </c>
      <c r="D164" t="s">
        <v>21</v>
      </c>
      <c r="E164" t="s">
        <v>18</v>
      </c>
      <c r="F164" t="s">
        <v>25</v>
      </c>
      <c r="G164">
        <v>188</v>
      </c>
    </row>
    <row r="165" spans="1:7" x14ac:dyDescent="0.3">
      <c r="A165">
        <v>164</v>
      </c>
      <c r="B165">
        <v>107</v>
      </c>
      <c r="C165" s="1">
        <v>45666</v>
      </c>
      <c r="D165" t="s">
        <v>21</v>
      </c>
      <c r="E165" t="s">
        <v>18</v>
      </c>
      <c r="F165" t="s">
        <v>30</v>
      </c>
      <c r="G165">
        <v>5</v>
      </c>
    </row>
    <row r="166" spans="1:7" x14ac:dyDescent="0.3">
      <c r="A166">
        <v>165</v>
      </c>
      <c r="B166">
        <v>107</v>
      </c>
      <c r="C166" s="1">
        <v>45666</v>
      </c>
      <c r="D166" t="s">
        <v>21</v>
      </c>
      <c r="E166" t="s">
        <v>18</v>
      </c>
      <c r="F166" t="s">
        <v>29</v>
      </c>
      <c r="G166">
        <v>50</v>
      </c>
    </row>
    <row r="167" spans="1:7" x14ac:dyDescent="0.3">
      <c r="A167">
        <v>166</v>
      </c>
      <c r="B167">
        <v>107</v>
      </c>
      <c r="C167" s="1">
        <v>45666</v>
      </c>
      <c r="D167" t="s">
        <v>21</v>
      </c>
      <c r="E167" t="s">
        <v>18</v>
      </c>
      <c r="F167" t="s">
        <v>27</v>
      </c>
      <c r="G167">
        <v>17</v>
      </c>
    </row>
    <row r="168" spans="1:7" x14ac:dyDescent="0.3">
      <c r="A168">
        <v>167</v>
      </c>
      <c r="B168">
        <v>108</v>
      </c>
      <c r="C168" s="1">
        <v>45666</v>
      </c>
      <c r="D168" t="s">
        <v>21</v>
      </c>
      <c r="E168" t="s">
        <v>19</v>
      </c>
      <c r="F168" t="s">
        <v>25</v>
      </c>
      <c r="G168">
        <v>22</v>
      </c>
    </row>
    <row r="169" spans="1:7" x14ac:dyDescent="0.3">
      <c r="A169">
        <v>168</v>
      </c>
      <c r="B169">
        <v>108</v>
      </c>
      <c r="C169" s="1">
        <v>45666</v>
      </c>
      <c r="D169" t="s">
        <v>21</v>
      </c>
      <c r="E169" t="s">
        <v>19</v>
      </c>
      <c r="F169" t="s">
        <v>27</v>
      </c>
      <c r="G169">
        <v>50</v>
      </c>
    </row>
    <row r="170" spans="1:7" x14ac:dyDescent="0.3">
      <c r="A170">
        <v>169</v>
      </c>
      <c r="B170">
        <v>109</v>
      </c>
      <c r="C170" s="1">
        <v>45667</v>
      </c>
      <c r="D170" t="s">
        <v>15</v>
      </c>
      <c r="E170" t="s">
        <v>16</v>
      </c>
      <c r="F170" t="s">
        <v>27</v>
      </c>
      <c r="G170">
        <v>5</v>
      </c>
    </row>
    <row r="171" spans="1:7" x14ac:dyDescent="0.3">
      <c r="A171">
        <v>170</v>
      </c>
      <c r="B171">
        <v>109</v>
      </c>
      <c r="C171" s="1">
        <v>45667</v>
      </c>
      <c r="D171" t="s">
        <v>15</v>
      </c>
      <c r="E171" t="s">
        <v>16</v>
      </c>
      <c r="F171" t="s">
        <v>25</v>
      </c>
      <c r="G171">
        <v>31</v>
      </c>
    </row>
    <row r="172" spans="1:7" x14ac:dyDescent="0.3">
      <c r="A172">
        <v>171</v>
      </c>
      <c r="B172">
        <v>110</v>
      </c>
      <c r="C172" s="1">
        <v>45667</v>
      </c>
      <c r="D172" t="s">
        <v>15</v>
      </c>
      <c r="E172" t="s">
        <v>17</v>
      </c>
      <c r="F172" t="s">
        <v>26</v>
      </c>
      <c r="G172">
        <v>5</v>
      </c>
    </row>
    <row r="173" spans="1:7" x14ac:dyDescent="0.3">
      <c r="A173">
        <v>172</v>
      </c>
      <c r="B173">
        <v>111</v>
      </c>
      <c r="C173" s="1">
        <v>45667</v>
      </c>
      <c r="D173" t="s">
        <v>15</v>
      </c>
      <c r="E173" t="s">
        <v>18</v>
      </c>
      <c r="F173" t="s">
        <v>27</v>
      </c>
      <c r="G173">
        <v>5</v>
      </c>
    </row>
    <row r="174" spans="1:7" x14ac:dyDescent="0.3">
      <c r="A174">
        <v>173</v>
      </c>
      <c r="B174">
        <v>112</v>
      </c>
      <c r="C174" s="1">
        <v>45667</v>
      </c>
      <c r="D174" t="s">
        <v>15</v>
      </c>
      <c r="E174" t="s">
        <v>19</v>
      </c>
      <c r="F174" t="s">
        <v>26</v>
      </c>
      <c r="G174">
        <v>7</v>
      </c>
    </row>
    <row r="175" spans="1:7" x14ac:dyDescent="0.3">
      <c r="A175">
        <v>174</v>
      </c>
      <c r="B175">
        <v>114</v>
      </c>
      <c r="C175" s="1">
        <v>45667</v>
      </c>
      <c r="D175" t="s">
        <v>20</v>
      </c>
      <c r="E175" t="s">
        <v>17</v>
      </c>
      <c r="F175" t="s">
        <v>30</v>
      </c>
      <c r="G175">
        <v>9</v>
      </c>
    </row>
    <row r="176" spans="1:7" x14ac:dyDescent="0.3">
      <c r="A176">
        <v>175</v>
      </c>
      <c r="B176">
        <v>115</v>
      </c>
      <c r="C176" s="1">
        <v>45667</v>
      </c>
      <c r="D176" t="s">
        <v>20</v>
      </c>
      <c r="E176" t="s">
        <v>18</v>
      </c>
      <c r="F176" t="s">
        <v>25</v>
      </c>
      <c r="G176">
        <v>89</v>
      </c>
    </row>
    <row r="177" spans="1:7" x14ac:dyDescent="0.3">
      <c r="A177">
        <v>176</v>
      </c>
      <c r="B177">
        <v>115</v>
      </c>
      <c r="C177" s="1">
        <v>45667</v>
      </c>
      <c r="D177" t="s">
        <v>20</v>
      </c>
      <c r="E177" t="s">
        <v>18</v>
      </c>
      <c r="F177" t="s">
        <v>28</v>
      </c>
      <c r="G177">
        <v>28</v>
      </c>
    </row>
    <row r="178" spans="1:7" x14ac:dyDescent="0.3">
      <c r="A178">
        <v>177</v>
      </c>
      <c r="B178">
        <v>116</v>
      </c>
      <c r="C178" s="1">
        <v>45667</v>
      </c>
      <c r="D178" t="s">
        <v>20</v>
      </c>
      <c r="E178" t="s">
        <v>19</v>
      </c>
      <c r="F178" t="s">
        <v>25</v>
      </c>
      <c r="G178">
        <v>56</v>
      </c>
    </row>
    <row r="179" spans="1:7" x14ac:dyDescent="0.3">
      <c r="A179">
        <v>178</v>
      </c>
      <c r="B179">
        <v>121</v>
      </c>
      <c r="C179" s="1">
        <v>45668</v>
      </c>
      <c r="D179" t="s">
        <v>15</v>
      </c>
      <c r="E179" t="s">
        <v>16</v>
      </c>
      <c r="F179" t="s">
        <v>25</v>
      </c>
      <c r="G179">
        <v>15</v>
      </c>
    </row>
    <row r="180" spans="1:7" x14ac:dyDescent="0.3">
      <c r="A180">
        <v>179</v>
      </c>
      <c r="B180">
        <v>121</v>
      </c>
      <c r="C180" s="1">
        <v>45668</v>
      </c>
      <c r="D180" t="s">
        <v>15</v>
      </c>
      <c r="E180" t="s">
        <v>16</v>
      </c>
      <c r="F180" t="s">
        <v>29</v>
      </c>
      <c r="G180">
        <v>5</v>
      </c>
    </row>
    <row r="181" spans="1:7" x14ac:dyDescent="0.3">
      <c r="A181">
        <v>180</v>
      </c>
      <c r="B181">
        <v>121</v>
      </c>
      <c r="C181" s="1">
        <v>45668</v>
      </c>
      <c r="D181" t="s">
        <v>15</v>
      </c>
      <c r="E181" t="s">
        <v>16</v>
      </c>
      <c r="F181" t="s">
        <v>25</v>
      </c>
      <c r="G181">
        <v>10</v>
      </c>
    </row>
    <row r="182" spans="1:7" x14ac:dyDescent="0.3">
      <c r="A182">
        <v>181</v>
      </c>
      <c r="B182">
        <v>122</v>
      </c>
      <c r="C182" s="1">
        <v>45668</v>
      </c>
      <c r="D182" t="s">
        <v>15</v>
      </c>
      <c r="E182" t="s">
        <v>17</v>
      </c>
      <c r="F182" t="s">
        <v>30</v>
      </c>
      <c r="G182">
        <v>6</v>
      </c>
    </row>
    <row r="183" spans="1:7" x14ac:dyDescent="0.3">
      <c r="A183">
        <v>182</v>
      </c>
      <c r="B183">
        <v>122</v>
      </c>
      <c r="C183" s="1">
        <v>45668</v>
      </c>
      <c r="D183" t="s">
        <v>15</v>
      </c>
      <c r="E183" t="s">
        <v>17</v>
      </c>
      <c r="F183" t="s">
        <v>25</v>
      </c>
      <c r="G183">
        <v>21</v>
      </c>
    </row>
    <row r="184" spans="1:7" x14ac:dyDescent="0.3">
      <c r="A184">
        <v>183</v>
      </c>
      <c r="B184">
        <v>123</v>
      </c>
      <c r="C184" s="1">
        <v>45668</v>
      </c>
      <c r="D184" t="s">
        <v>15</v>
      </c>
      <c r="E184" t="s">
        <v>18</v>
      </c>
      <c r="F184" t="s">
        <v>27</v>
      </c>
      <c r="G184">
        <v>6</v>
      </c>
    </row>
    <row r="185" spans="1:7" x14ac:dyDescent="0.3">
      <c r="A185">
        <v>184</v>
      </c>
      <c r="B185">
        <v>123</v>
      </c>
      <c r="C185" s="1">
        <v>45668</v>
      </c>
      <c r="D185" t="s">
        <v>15</v>
      </c>
      <c r="E185" t="s">
        <v>18</v>
      </c>
      <c r="F185" t="s">
        <v>28</v>
      </c>
      <c r="G185">
        <v>86</v>
      </c>
    </row>
    <row r="186" spans="1:7" x14ac:dyDescent="0.3">
      <c r="A186">
        <v>185</v>
      </c>
      <c r="B186">
        <v>124</v>
      </c>
      <c r="C186" s="1">
        <v>45668</v>
      </c>
      <c r="D186" t="s">
        <v>15</v>
      </c>
      <c r="E186" t="s">
        <v>19</v>
      </c>
      <c r="F186" t="s">
        <v>25</v>
      </c>
      <c r="G186">
        <v>14</v>
      </c>
    </row>
    <row r="187" spans="1:7" x14ac:dyDescent="0.3">
      <c r="A187">
        <v>186</v>
      </c>
      <c r="B187">
        <v>124</v>
      </c>
      <c r="C187" s="1">
        <v>45668</v>
      </c>
      <c r="D187" t="s">
        <v>15</v>
      </c>
      <c r="E187" t="s">
        <v>19</v>
      </c>
      <c r="F187" t="s">
        <v>27</v>
      </c>
      <c r="G187">
        <v>20</v>
      </c>
    </row>
    <row r="188" spans="1:7" x14ac:dyDescent="0.3">
      <c r="A188">
        <v>187</v>
      </c>
      <c r="B188">
        <v>124</v>
      </c>
      <c r="C188" s="1">
        <v>45668</v>
      </c>
      <c r="D188" t="s">
        <v>15</v>
      </c>
      <c r="E188" t="s">
        <v>19</v>
      </c>
      <c r="F188" t="s">
        <v>25</v>
      </c>
      <c r="G188">
        <v>6</v>
      </c>
    </row>
    <row r="189" spans="1:7" x14ac:dyDescent="0.3">
      <c r="A189">
        <v>188</v>
      </c>
      <c r="B189">
        <v>125</v>
      </c>
      <c r="C189" s="1">
        <v>45668</v>
      </c>
      <c r="D189" t="s">
        <v>20</v>
      </c>
      <c r="E189" t="s">
        <v>16</v>
      </c>
      <c r="F189" t="s">
        <v>25</v>
      </c>
      <c r="G189">
        <v>5</v>
      </c>
    </row>
    <row r="190" spans="1:7" x14ac:dyDescent="0.3">
      <c r="A190">
        <v>189</v>
      </c>
      <c r="B190">
        <v>126</v>
      </c>
      <c r="C190" s="1">
        <v>45668</v>
      </c>
      <c r="D190" t="s">
        <v>20</v>
      </c>
      <c r="E190" t="s">
        <v>17</v>
      </c>
      <c r="F190" t="s">
        <v>27</v>
      </c>
      <c r="G190">
        <v>21</v>
      </c>
    </row>
    <row r="191" spans="1:7" x14ac:dyDescent="0.3">
      <c r="A191">
        <v>190</v>
      </c>
      <c r="B191">
        <v>128</v>
      </c>
      <c r="C191" s="1">
        <v>45668</v>
      </c>
      <c r="D191" t="s">
        <v>20</v>
      </c>
      <c r="E191" t="s">
        <v>19</v>
      </c>
      <c r="F191" t="s">
        <v>25</v>
      </c>
      <c r="G191">
        <v>110</v>
      </c>
    </row>
    <row r="192" spans="1:7" x14ac:dyDescent="0.3">
      <c r="A192">
        <v>191</v>
      </c>
      <c r="B192">
        <v>128</v>
      </c>
      <c r="C192" s="1">
        <v>45668</v>
      </c>
      <c r="D192" t="s">
        <v>20</v>
      </c>
      <c r="E192" t="s">
        <v>19</v>
      </c>
      <c r="F192" t="s">
        <v>27</v>
      </c>
      <c r="G192">
        <v>9</v>
      </c>
    </row>
    <row r="193" spans="1:7" x14ac:dyDescent="0.3">
      <c r="A193">
        <v>192</v>
      </c>
      <c r="B193">
        <v>128</v>
      </c>
      <c r="C193" s="1">
        <v>45668</v>
      </c>
      <c r="D193" t="s">
        <v>20</v>
      </c>
      <c r="E193" t="s">
        <v>19</v>
      </c>
      <c r="F193" t="s">
        <v>27</v>
      </c>
      <c r="G193">
        <v>5</v>
      </c>
    </row>
    <row r="194" spans="1:7" x14ac:dyDescent="0.3">
      <c r="A194">
        <v>193</v>
      </c>
      <c r="B194">
        <v>130</v>
      </c>
      <c r="C194" s="1">
        <v>45668</v>
      </c>
      <c r="D194" t="s">
        <v>21</v>
      </c>
      <c r="E194" t="s">
        <v>17</v>
      </c>
      <c r="F194" t="s">
        <v>27</v>
      </c>
      <c r="G194">
        <v>25</v>
      </c>
    </row>
    <row r="195" spans="1:7" x14ac:dyDescent="0.3">
      <c r="A195">
        <v>194</v>
      </c>
      <c r="B195">
        <v>131</v>
      </c>
      <c r="C195" s="1">
        <v>45668</v>
      </c>
      <c r="D195" t="s">
        <v>21</v>
      </c>
      <c r="E195" t="s">
        <v>18</v>
      </c>
      <c r="F195" t="s">
        <v>25</v>
      </c>
      <c r="G195">
        <v>5</v>
      </c>
    </row>
    <row r="196" spans="1:7" x14ac:dyDescent="0.3">
      <c r="A196">
        <v>195</v>
      </c>
      <c r="B196">
        <v>131</v>
      </c>
      <c r="C196" s="1">
        <v>45668</v>
      </c>
      <c r="D196" t="s">
        <v>21</v>
      </c>
      <c r="E196" t="s">
        <v>18</v>
      </c>
      <c r="F196" t="s">
        <v>25</v>
      </c>
      <c r="G196">
        <v>40</v>
      </c>
    </row>
    <row r="197" spans="1:7" x14ac:dyDescent="0.3">
      <c r="A197">
        <v>196</v>
      </c>
      <c r="B197">
        <v>131</v>
      </c>
      <c r="C197" s="1">
        <v>45668</v>
      </c>
      <c r="D197" t="s">
        <v>21</v>
      </c>
      <c r="E197" t="s">
        <v>18</v>
      </c>
      <c r="F197" t="s">
        <v>25</v>
      </c>
      <c r="G197">
        <v>30</v>
      </c>
    </row>
    <row r="198" spans="1:7" x14ac:dyDescent="0.3">
      <c r="A198">
        <v>197</v>
      </c>
      <c r="B198">
        <v>132</v>
      </c>
      <c r="C198" s="1">
        <v>45668</v>
      </c>
      <c r="D198" t="s">
        <v>21</v>
      </c>
      <c r="E198" t="s">
        <v>19</v>
      </c>
      <c r="F198" t="s">
        <v>25</v>
      </c>
      <c r="G198">
        <v>58</v>
      </c>
    </row>
    <row r="199" spans="1:7" x14ac:dyDescent="0.3">
      <c r="A199">
        <v>198</v>
      </c>
      <c r="B199">
        <v>133</v>
      </c>
      <c r="C199" s="1">
        <v>45669</v>
      </c>
      <c r="D199" t="s">
        <v>15</v>
      </c>
      <c r="E199" t="s">
        <v>16</v>
      </c>
      <c r="F199" t="s">
        <v>30</v>
      </c>
      <c r="G199">
        <v>24</v>
      </c>
    </row>
    <row r="200" spans="1:7" x14ac:dyDescent="0.3">
      <c r="A200">
        <v>199</v>
      </c>
      <c r="B200">
        <v>134</v>
      </c>
      <c r="C200" s="1">
        <v>45669</v>
      </c>
      <c r="D200" t="s">
        <v>15</v>
      </c>
      <c r="E200" t="s">
        <v>17</v>
      </c>
      <c r="F200" t="s">
        <v>25</v>
      </c>
      <c r="G200">
        <v>112</v>
      </c>
    </row>
    <row r="201" spans="1:7" x14ac:dyDescent="0.3">
      <c r="A201">
        <v>200</v>
      </c>
      <c r="B201">
        <v>135</v>
      </c>
      <c r="C201" s="1">
        <v>45669</v>
      </c>
      <c r="D201" t="s">
        <v>15</v>
      </c>
      <c r="E201" t="s">
        <v>18</v>
      </c>
      <c r="F201" t="s">
        <v>27</v>
      </c>
      <c r="G201">
        <v>41</v>
      </c>
    </row>
    <row r="202" spans="1:7" x14ac:dyDescent="0.3">
      <c r="A202">
        <v>201</v>
      </c>
      <c r="B202">
        <v>136</v>
      </c>
      <c r="C202" s="1">
        <v>45669</v>
      </c>
      <c r="D202" t="s">
        <v>15</v>
      </c>
      <c r="E202" t="s">
        <v>19</v>
      </c>
      <c r="F202" t="s">
        <v>27</v>
      </c>
      <c r="G202">
        <v>5</v>
      </c>
    </row>
    <row r="203" spans="1:7" x14ac:dyDescent="0.3">
      <c r="A203">
        <v>202</v>
      </c>
      <c r="B203">
        <v>136</v>
      </c>
      <c r="C203" s="1">
        <v>45669</v>
      </c>
      <c r="D203" t="s">
        <v>15</v>
      </c>
      <c r="E203" t="s">
        <v>19</v>
      </c>
      <c r="F203" t="s">
        <v>28</v>
      </c>
      <c r="G203">
        <v>173</v>
      </c>
    </row>
    <row r="204" spans="1:7" x14ac:dyDescent="0.3">
      <c r="A204">
        <v>203</v>
      </c>
      <c r="B204">
        <v>136</v>
      </c>
      <c r="C204" s="1">
        <v>45669</v>
      </c>
      <c r="D204" t="s">
        <v>15</v>
      </c>
      <c r="E204" t="s">
        <v>19</v>
      </c>
      <c r="F204" t="s">
        <v>25</v>
      </c>
      <c r="G204">
        <v>55</v>
      </c>
    </row>
    <row r="205" spans="1:7" x14ac:dyDescent="0.3">
      <c r="A205">
        <v>204</v>
      </c>
      <c r="B205">
        <v>137</v>
      </c>
      <c r="C205" s="1">
        <v>45669</v>
      </c>
      <c r="D205" t="s">
        <v>20</v>
      </c>
      <c r="E205" t="s">
        <v>16</v>
      </c>
      <c r="F205" t="s">
        <v>26</v>
      </c>
      <c r="G205">
        <v>10</v>
      </c>
    </row>
    <row r="206" spans="1:7" x14ac:dyDescent="0.3">
      <c r="A206">
        <v>205</v>
      </c>
      <c r="B206">
        <v>137</v>
      </c>
      <c r="C206" s="1">
        <v>45669</v>
      </c>
      <c r="D206" t="s">
        <v>20</v>
      </c>
      <c r="E206" t="s">
        <v>16</v>
      </c>
      <c r="F206" t="s">
        <v>29</v>
      </c>
      <c r="G206">
        <v>88</v>
      </c>
    </row>
    <row r="207" spans="1:7" x14ac:dyDescent="0.3">
      <c r="A207">
        <v>206</v>
      </c>
      <c r="B207">
        <v>138</v>
      </c>
      <c r="C207" s="1">
        <v>45669</v>
      </c>
      <c r="D207" t="s">
        <v>20</v>
      </c>
      <c r="E207" t="s">
        <v>17</v>
      </c>
      <c r="F207" t="s">
        <v>25</v>
      </c>
      <c r="G207">
        <v>40</v>
      </c>
    </row>
    <row r="208" spans="1:7" x14ac:dyDescent="0.3">
      <c r="A208">
        <v>207</v>
      </c>
      <c r="B208">
        <v>138</v>
      </c>
      <c r="C208" s="1">
        <v>45669</v>
      </c>
      <c r="D208" t="s">
        <v>20</v>
      </c>
      <c r="E208" t="s">
        <v>17</v>
      </c>
      <c r="F208" t="s">
        <v>25</v>
      </c>
      <c r="G208">
        <v>5</v>
      </c>
    </row>
    <row r="209" spans="1:7" x14ac:dyDescent="0.3">
      <c r="A209">
        <v>208</v>
      </c>
      <c r="B209">
        <v>138</v>
      </c>
      <c r="C209" s="1">
        <v>45669</v>
      </c>
      <c r="D209" t="s">
        <v>20</v>
      </c>
      <c r="E209" t="s">
        <v>17</v>
      </c>
      <c r="F209" t="s">
        <v>25</v>
      </c>
      <c r="G209">
        <v>53</v>
      </c>
    </row>
    <row r="210" spans="1:7" x14ac:dyDescent="0.3">
      <c r="A210">
        <v>209</v>
      </c>
      <c r="B210">
        <v>140</v>
      </c>
      <c r="C210" s="1">
        <v>45669</v>
      </c>
      <c r="D210" t="s">
        <v>20</v>
      </c>
      <c r="E210" t="s">
        <v>19</v>
      </c>
      <c r="F210" t="s">
        <v>29</v>
      </c>
      <c r="G210">
        <v>23</v>
      </c>
    </row>
    <row r="211" spans="1:7" x14ac:dyDescent="0.3">
      <c r="A211">
        <v>210</v>
      </c>
      <c r="B211">
        <v>140</v>
      </c>
      <c r="C211" s="1">
        <v>45669</v>
      </c>
      <c r="D211" t="s">
        <v>20</v>
      </c>
      <c r="E211" t="s">
        <v>19</v>
      </c>
      <c r="F211" t="s">
        <v>25</v>
      </c>
      <c r="G211">
        <v>5</v>
      </c>
    </row>
    <row r="212" spans="1:7" x14ac:dyDescent="0.3">
      <c r="A212">
        <v>211</v>
      </c>
      <c r="B212">
        <v>141</v>
      </c>
      <c r="C212" s="1">
        <v>45669</v>
      </c>
      <c r="D212" t="s">
        <v>21</v>
      </c>
      <c r="E212" t="s">
        <v>16</v>
      </c>
      <c r="F212" t="s">
        <v>30</v>
      </c>
      <c r="G212">
        <v>7</v>
      </c>
    </row>
    <row r="213" spans="1:7" x14ac:dyDescent="0.3">
      <c r="A213">
        <v>212</v>
      </c>
      <c r="B213">
        <v>141</v>
      </c>
      <c r="C213" s="1">
        <v>45669</v>
      </c>
      <c r="D213" t="s">
        <v>21</v>
      </c>
      <c r="E213" t="s">
        <v>16</v>
      </c>
      <c r="F213" t="s">
        <v>27</v>
      </c>
      <c r="G213">
        <v>19</v>
      </c>
    </row>
    <row r="214" spans="1:7" x14ac:dyDescent="0.3">
      <c r="A214">
        <v>213</v>
      </c>
      <c r="B214">
        <v>141</v>
      </c>
      <c r="C214" s="1">
        <v>45669</v>
      </c>
      <c r="D214" t="s">
        <v>21</v>
      </c>
      <c r="E214" t="s">
        <v>16</v>
      </c>
      <c r="F214" t="s">
        <v>29</v>
      </c>
      <c r="G214">
        <v>103</v>
      </c>
    </row>
    <row r="215" spans="1:7" x14ac:dyDescent="0.3">
      <c r="A215">
        <v>214</v>
      </c>
      <c r="B215">
        <v>141</v>
      </c>
      <c r="C215" s="1">
        <v>45669</v>
      </c>
      <c r="D215" t="s">
        <v>21</v>
      </c>
      <c r="E215" t="s">
        <v>16</v>
      </c>
      <c r="F215" t="s">
        <v>30</v>
      </c>
      <c r="G215">
        <v>8</v>
      </c>
    </row>
    <row r="216" spans="1:7" x14ac:dyDescent="0.3">
      <c r="A216">
        <v>215</v>
      </c>
      <c r="B216">
        <v>141</v>
      </c>
      <c r="C216" s="1">
        <v>45669</v>
      </c>
      <c r="D216" t="s">
        <v>21</v>
      </c>
      <c r="E216" t="s">
        <v>16</v>
      </c>
      <c r="F216" t="s">
        <v>27</v>
      </c>
      <c r="G216">
        <v>26</v>
      </c>
    </row>
    <row r="217" spans="1:7" x14ac:dyDescent="0.3">
      <c r="A217">
        <v>216</v>
      </c>
      <c r="B217">
        <v>142</v>
      </c>
      <c r="C217" s="1">
        <v>45669</v>
      </c>
      <c r="D217" t="s">
        <v>21</v>
      </c>
      <c r="E217" t="s">
        <v>17</v>
      </c>
      <c r="F217" t="s">
        <v>25</v>
      </c>
      <c r="G217">
        <v>11</v>
      </c>
    </row>
    <row r="218" spans="1:7" x14ac:dyDescent="0.3">
      <c r="A218">
        <v>217</v>
      </c>
      <c r="B218">
        <v>143</v>
      </c>
      <c r="C218" s="1">
        <v>45669</v>
      </c>
      <c r="D218" t="s">
        <v>21</v>
      </c>
      <c r="E218" t="s">
        <v>18</v>
      </c>
      <c r="F218" t="s">
        <v>26</v>
      </c>
      <c r="G218">
        <v>7</v>
      </c>
    </row>
    <row r="219" spans="1:7" x14ac:dyDescent="0.3">
      <c r="A219">
        <v>218</v>
      </c>
      <c r="B219">
        <v>143</v>
      </c>
      <c r="C219" s="1">
        <v>45669</v>
      </c>
      <c r="D219" t="s">
        <v>21</v>
      </c>
      <c r="E219" t="s">
        <v>18</v>
      </c>
      <c r="F219" t="s">
        <v>28</v>
      </c>
      <c r="G219">
        <v>92</v>
      </c>
    </row>
    <row r="220" spans="1:7" x14ac:dyDescent="0.3">
      <c r="A220">
        <v>219</v>
      </c>
      <c r="B220">
        <v>144</v>
      </c>
      <c r="C220" s="1">
        <v>45669</v>
      </c>
      <c r="D220" t="s">
        <v>21</v>
      </c>
      <c r="E220" t="s">
        <v>19</v>
      </c>
      <c r="F220" t="s">
        <v>28</v>
      </c>
      <c r="G220">
        <v>15</v>
      </c>
    </row>
    <row r="221" spans="1:7" x14ac:dyDescent="0.3">
      <c r="A221">
        <v>220</v>
      </c>
      <c r="B221">
        <v>144</v>
      </c>
      <c r="C221" s="1">
        <v>45669</v>
      </c>
      <c r="D221" t="s">
        <v>21</v>
      </c>
      <c r="E221" t="s">
        <v>19</v>
      </c>
      <c r="F221" t="s">
        <v>28</v>
      </c>
      <c r="G221">
        <v>62</v>
      </c>
    </row>
    <row r="222" spans="1:7" x14ac:dyDescent="0.3">
      <c r="A222">
        <v>221</v>
      </c>
      <c r="B222">
        <v>144</v>
      </c>
      <c r="C222" s="1">
        <v>45669</v>
      </c>
      <c r="D222" t="s">
        <v>21</v>
      </c>
      <c r="E222" t="s">
        <v>19</v>
      </c>
      <c r="F222" t="s">
        <v>26</v>
      </c>
      <c r="G222">
        <v>21</v>
      </c>
    </row>
    <row r="223" spans="1:7" x14ac:dyDescent="0.3">
      <c r="A223">
        <v>222</v>
      </c>
      <c r="B223">
        <v>144</v>
      </c>
      <c r="C223" s="1">
        <v>45669</v>
      </c>
      <c r="D223" t="s">
        <v>21</v>
      </c>
      <c r="E223" t="s">
        <v>19</v>
      </c>
      <c r="F223" t="s">
        <v>25</v>
      </c>
      <c r="G223">
        <v>8</v>
      </c>
    </row>
    <row r="224" spans="1:7" x14ac:dyDescent="0.3">
      <c r="A224">
        <v>223</v>
      </c>
      <c r="B224">
        <v>145</v>
      </c>
      <c r="C224" s="1">
        <v>45670</v>
      </c>
      <c r="D224" t="s">
        <v>15</v>
      </c>
      <c r="E224" t="s">
        <v>16</v>
      </c>
      <c r="F224" t="s">
        <v>28</v>
      </c>
      <c r="G224">
        <v>129</v>
      </c>
    </row>
    <row r="225" spans="1:7" x14ac:dyDescent="0.3">
      <c r="A225">
        <v>224</v>
      </c>
      <c r="B225">
        <v>145</v>
      </c>
      <c r="C225" s="1">
        <v>45670</v>
      </c>
      <c r="D225" t="s">
        <v>15</v>
      </c>
      <c r="E225" t="s">
        <v>16</v>
      </c>
      <c r="F225" t="s">
        <v>29</v>
      </c>
      <c r="G225">
        <v>132</v>
      </c>
    </row>
    <row r="226" spans="1:7" x14ac:dyDescent="0.3">
      <c r="A226">
        <v>225</v>
      </c>
      <c r="B226">
        <v>146</v>
      </c>
      <c r="C226" s="1">
        <v>45670</v>
      </c>
      <c r="D226" t="s">
        <v>15</v>
      </c>
      <c r="E226" t="s">
        <v>17</v>
      </c>
      <c r="F226" t="s">
        <v>30</v>
      </c>
      <c r="G226">
        <v>5</v>
      </c>
    </row>
    <row r="227" spans="1:7" x14ac:dyDescent="0.3">
      <c r="A227">
        <v>226</v>
      </c>
      <c r="B227">
        <v>146</v>
      </c>
      <c r="C227" s="1">
        <v>45670</v>
      </c>
      <c r="D227" t="s">
        <v>15</v>
      </c>
      <c r="E227" t="s">
        <v>17</v>
      </c>
      <c r="F227" t="s">
        <v>25</v>
      </c>
      <c r="G227">
        <v>34</v>
      </c>
    </row>
    <row r="228" spans="1:7" x14ac:dyDescent="0.3">
      <c r="A228">
        <v>227</v>
      </c>
      <c r="B228">
        <v>149</v>
      </c>
      <c r="C228" s="1">
        <v>45670</v>
      </c>
      <c r="D228" t="s">
        <v>20</v>
      </c>
      <c r="E228" t="s">
        <v>16</v>
      </c>
      <c r="F228" t="s">
        <v>27</v>
      </c>
      <c r="G228">
        <v>9</v>
      </c>
    </row>
    <row r="229" spans="1:7" x14ac:dyDescent="0.3">
      <c r="A229">
        <v>228</v>
      </c>
      <c r="B229">
        <v>149</v>
      </c>
      <c r="C229" s="1">
        <v>45670</v>
      </c>
      <c r="D229" t="s">
        <v>20</v>
      </c>
      <c r="E229" t="s">
        <v>16</v>
      </c>
      <c r="F229" t="s">
        <v>25</v>
      </c>
      <c r="G229">
        <v>57</v>
      </c>
    </row>
    <row r="230" spans="1:7" x14ac:dyDescent="0.3">
      <c r="A230">
        <v>229</v>
      </c>
      <c r="B230">
        <v>149</v>
      </c>
      <c r="C230" s="1">
        <v>45670</v>
      </c>
      <c r="D230" t="s">
        <v>20</v>
      </c>
      <c r="E230" t="s">
        <v>16</v>
      </c>
      <c r="F230" t="s">
        <v>27</v>
      </c>
      <c r="G230">
        <v>5</v>
      </c>
    </row>
    <row r="231" spans="1:7" x14ac:dyDescent="0.3">
      <c r="A231">
        <v>230</v>
      </c>
      <c r="B231">
        <v>149</v>
      </c>
      <c r="C231" s="1">
        <v>45670</v>
      </c>
      <c r="D231" t="s">
        <v>20</v>
      </c>
      <c r="E231" t="s">
        <v>16</v>
      </c>
      <c r="F231" t="s">
        <v>25</v>
      </c>
      <c r="G231">
        <v>51</v>
      </c>
    </row>
    <row r="232" spans="1:7" x14ac:dyDescent="0.3">
      <c r="A232">
        <v>231</v>
      </c>
      <c r="B232">
        <v>150</v>
      </c>
      <c r="C232" s="1">
        <v>45670</v>
      </c>
      <c r="D232" t="s">
        <v>20</v>
      </c>
      <c r="E232" t="s">
        <v>17</v>
      </c>
      <c r="F232" t="s">
        <v>30</v>
      </c>
      <c r="G232">
        <v>6</v>
      </c>
    </row>
    <row r="233" spans="1:7" x14ac:dyDescent="0.3">
      <c r="A233">
        <v>232</v>
      </c>
      <c r="B233">
        <v>150</v>
      </c>
      <c r="C233" s="1">
        <v>45670</v>
      </c>
      <c r="D233" t="s">
        <v>20</v>
      </c>
      <c r="E233" t="s">
        <v>17</v>
      </c>
      <c r="F233" t="s">
        <v>26</v>
      </c>
      <c r="G233">
        <v>25</v>
      </c>
    </row>
    <row r="234" spans="1:7" x14ac:dyDescent="0.3">
      <c r="A234">
        <v>233</v>
      </c>
      <c r="B234">
        <v>151</v>
      </c>
      <c r="C234" s="1">
        <v>45670</v>
      </c>
      <c r="D234" t="s">
        <v>20</v>
      </c>
      <c r="E234" t="s">
        <v>18</v>
      </c>
      <c r="F234" t="s">
        <v>26</v>
      </c>
      <c r="G234">
        <v>28</v>
      </c>
    </row>
    <row r="235" spans="1:7" x14ac:dyDescent="0.3">
      <c r="A235">
        <v>234</v>
      </c>
      <c r="B235">
        <v>151</v>
      </c>
      <c r="C235" s="1">
        <v>45670</v>
      </c>
      <c r="D235" t="s">
        <v>20</v>
      </c>
      <c r="E235" t="s">
        <v>18</v>
      </c>
      <c r="F235" t="s">
        <v>30</v>
      </c>
      <c r="G235">
        <v>5</v>
      </c>
    </row>
    <row r="236" spans="1:7" x14ac:dyDescent="0.3">
      <c r="A236">
        <v>235</v>
      </c>
      <c r="B236">
        <v>151</v>
      </c>
      <c r="C236" s="1">
        <v>45670</v>
      </c>
      <c r="D236" t="s">
        <v>20</v>
      </c>
      <c r="E236" t="s">
        <v>18</v>
      </c>
      <c r="F236" t="s">
        <v>29</v>
      </c>
      <c r="G236">
        <v>51</v>
      </c>
    </row>
    <row r="237" spans="1:7" x14ac:dyDescent="0.3">
      <c r="A237">
        <v>236</v>
      </c>
      <c r="B237">
        <v>151</v>
      </c>
      <c r="C237" s="1">
        <v>45670</v>
      </c>
      <c r="D237" t="s">
        <v>20</v>
      </c>
      <c r="E237" t="s">
        <v>18</v>
      </c>
      <c r="F237" t="s">
        <v>25</v>
      </c>
      <c r="G237">
        <v>78</v>
      </c>
    </row>
    <row r="238" spans="1:7" x14ac:dyDescent="0.3">
      <c r="A238">
        <v>237</v>
      </c>
      <c r="B238">
        <v>151</v>
      </c>
      <c r="C238" s="1">
        <v>45670</v>
      </c>
      <c r="D238" t="s">
        <v>20</v>
      </c>
      <c r="E238" t="s">
        <v>18</v>
      </c>
      <c r="F238" t="s">
        <v>25</v>
      </c>
      <c r="G238">
        <v>18</v>
      </c>
    </row>
    <row r="239" spans="1:7" x14ac:dyDescent="0.3">
      <c r="A239">
        <v>238</v>
      </c>
      <c r="B239">
        <v>151</v>
      </c>
      <c r="C239" s="1">
        <v>45670</v>
      </c>
      <c r="D239" t="s">
        <v>20</v>
      </c>
      <c r="E239" t="s">
        <v>18</v>
      </c>
      <c r="F239" t="s">
        <v>26</v>
      </c>
      <c r="G239">
        <v>5</v>
      </c>
    </row>
    <row r="240" spans="1:7" x14ac:dyDescent="0.3">
      <c r="A240">
        <v>239</v>
      </c>
      <c r="B240">
        <v>152</v>
      </c>
      <c r="C240" s="1">
        <v>45670</v>
      </c>
      <c r="D240" t="s">
        <v>20</v>
      </c>
      <c r="E240" t="s">
        <v>19</v>
      </c>
      <c r="F240" t="s">
        <v>25</v>
      </c>
      <c r="G240">
        <v>43</v>
      </c>
    </row>
    <row r="241" spans="1:7" x14ac:dyDescent="0.3">
      <c r="A241">
        <v>240</v>
      </c>
      <c r="B241">
        <v>153</v>
      </c>
      <c r="C241" s="1">
        <v>45670</v>
      </c>
      <c r="D241" t="s">
        <v>21</v>
      </c>
      <c r="E241" t="s">
        <v>16</v>
      </c>
      <c r="F241" t="s">
        <v>27</v>
      </c>
      <c r="G241">
        <v>30</v>
      </c>
    </row>
    <row r="242" spans="1:7" x14ac:dyDescent="0.3">
      <c r="A242">
        <v>241</v>
      </c>
      <c r="B242">
        <v>154</v>
      </c>
      <c r="C242" s="1">
        <v>45670</v>
      </c>
      <c r="D242" t="s">
        <v>21</v>
      </c>
      <c r="E242" t="s">
        <v>17</v>
      </c>
      <c r="F242" t="s">
        <v>26</v>
      </c>
      <c r="G242">
        <v>80</v>
      </c>
    </row>
    <row r="243" spans="1:7" x14ac:dyDescent="0.3">
      <c r="A243">
        <v>242</v>
      </c>
      <c r="B243">
        <v>154</v>
      </c>
      <c r="C243" s="1">
        <v>45670</v>
      </c>
      <c r="D243" t="s">
        <v>21</v>
      </c>
      <c r="E243" t="s">
        <v>17</v>
      </c>
      <c r="F243" t="s">
        <v>25</v>
      </c>
      <c r="G243">
        <v>124</v>
      </c>
    </row>
    <row r="244" spans="1:7" x14ac:dyDescent="0.3">
      <c r="A244">
        <v>243</v>
      </c>
      <c r="B244">
        <v>155</v>
      </c>
      <c r="C244" s="1">
        <v>45670</v>
      </c>
      <c r="D244" t="s">
        <v>21</v>
      </c>
      <c r="E244" t="s">
        <v>18</v>
      </c>
      <c r="F244" t="s">
        <v>25</v>
      </c>
      <c r="G244">
        <v>39</v>
      </c>
    </row>
    <row r="245" spans="1:7" x14ac:dyDescent="0.3">
      <c r="A245">
        <v>244</v>
      </c>
      <c r="B245">
        <v>157</v>
      </c>
      <c r="C245" s="1">
        <v>45671</v>
      </c>
      <c r="D245" t="s">
        <v>15</v>
      </c>
      <c r="E245" t="s">
        <v>16</v>
      </c>
      <c r="F245" t="s">
        <v>30</v>
      </c>
      <c r="G245">
        <v>5</v>
      </c>
    </row>
    <row r="246" spans="1:7" x14ac:dyDescent="0.3">
      <c r="A246">
        <v>245</v>
      </c>
      <c r="B246">
        <v>157</v>
      </c>
      <c r="C246" s="1">
        <v>45671</v>
      </c>
      <c r="D246" t="s">
        <v>15</v>
      </c>
      <c r="E246" t="s">
        <v>16</v>
      </c>
      <c r="F246" t="s">
        <v>25</v>
      </c>
      <c r="G246">
        <v>17</v>
      </c>
    </row>
    <row r="247" spans="1:7" x14ac:dyDescent="0.3">
      <c r="A247">
        <v>246</v>
      </c>
      <c r="B247">
        <v>158</v>
      </c>
      <c r="C247" s="1">
        <v>45671</v>
      </c>
      <c r="D247" t="s">
        <v>15</v>
      </c>
      <c r="E247" t="s">
        <v>17</v>
      </c>
      <c r="F247" t="s">
        <v>28</v>
      </c>
      <c r="G247">
        <v>33</v>
      </c>
    </row>
    <row r="248" spans="1:7" x14ac:dyDescent="0.3">
      <c r="A248">
        <v>247</v>
      </c>
      <c r="B248">
        <v>158</v>
      </c>
      <c r="C248" s="1">
        <v>45671</v>
      </c>
      <c r="D248" t="s">
        <v>15</v>
      </c>
      <c r="E248" t="s">
        <v>17</v>
      </c>
      <c r="F248" t="s">
        <v>27</v>
      </c>
      <c r="G248">
        <v>5</v>
      </c>
    </row>
    <row r="249" spans="1:7" x14ac:dyDescent="0.3">
      <c r="A249">
        <v>248</v>
      </c>
      <c r="B249">
        <v>160</v>
      </c>
      <c r="C249" s="1">
        <v>45671</v>
      </c>
      <c r="D249" t="s">
        <v>15</v>
      </c>
      <c r="E249" t="s">
        <v>19</v>
      </c>
      <c r="F249" t="s">
        <v>28</v>
      </c>
      <c r="G249">
        <v>9</v>
      </c>
    </row>
    <row r="250" spans="1:7" x14ac:dyDescent="0.3">
      <c r="A250">
        <v>249</v>
      </c>
      <c r="B250">
        <v>161</v>
      </c>
      <c r="C250" s="1">
        <v>45671</v>
      </c>
      <c r="D250" t="s">
        <v>20</v>
      </c>
      <c r="E250" t="s">
        <v>16</v>
      </c>
      <c r="F250" t="s">
        <v>25</v>
      </c>
      <c r="G250">
        <v>186</v>
      </c>
    </row>
    <row r="251" spans="1:7" x14ac:dyDescent="0.3">
      <c r="A251">
        <v>250</v>
      </c>
      <c r="B251">
        <v>161</v>
      </c>
      <c r="C251" s="1">
        <v>45671</v>
      </c>
      <c r="D251" t="s">
        <v>20</v>
      </c>
      <c r="E251" t="s">
        <v>16</v>
      </c>
      <c r="F251" t="s">
        <v>27</v>
      </c>
      <c r="G251">
        <v>44</v>
      </c>
    </row>
    <row r="252" spans="1:7" x14ac:dyDescent="0.3">
      <c r="A252">
        <v>251</v>
      </c>
      <c r="B252">
        <v>163</v>
      </c>
      <c r="C252" s="1">
        <v>45671</v>
      </c>
      <c r="D252" t="s">
        <v>20</v>
      </c>
      <c r="E252" t="s">
        <v>18</v>
      </c>
      <c r="F252" t="s">
        <v>29</v>
      </c>
      <c r="G252">
        <v>37</v>
      </c>
    </row>
    <row r="253" spans="1:7" x14ac:dyDescent="0.3">
      <c r="A253">
        <v>252</v>
      </c>
      <c r="B253">
        <v>163</v>
      </c>
      <c r="C253" s="1">
        <v>45671</v>
      </c>
      <c r="D253" t="s">
        <v>20</v>
      </c>
      <c r="E253" t="s">
        <v>18</v>
      </c>
      <c r="F253" t="s">
        <v>30</v>
      </c>
      <c r="G253">
        <v>27</v>
      </c>
    </row>
    <row r="254" spans="1:7" x14ac:dyDescent="0.3">
      <c r="A254">
        <v>253</v>
      </c>
      <c r="B254">
        <v>163</v>
      </c>
      <c r="C254" s="1">
        <v>45671</v>
      </c>
      <c r="D254" t="s">
        <v>20</v>
      </c>
      <c r="E254" t="s">
        <v>18</v>
      </c>
      <c r="F254" t="s">
        <v>30</v>
      </c>
      <c r="G254">
        <v>14</v>
      </c>
    </row>
    <row r="255" spans="1:7" x14ac:dyDescent="0.3">
      <c r="A255">
        <v>254</v>
      </c>
      <c r="B255">
        <v>164</v>
      </c>
      <c r="C255" s="1">
        <v>45671</v>
      </c>
      <c r="D255" t="s">
        <v>20</v>
      </c>
      <c r="E255" t="s">
        <v>19</v>
      </c>
      <c r="F255" t="s">
        <v>25</v>
      </c>
      <c r="G255">
        <v>6</v>
      </c>
    </row>
    <row r="256" spans="1:7" x14ac:dyDescent="0.3">
      <c r="A256">
        <v>255</v>
      </c>
      <c r="B256">
        <v>164</v>
      </c>
      <c r="C256" s="1">
        <v>45671</v>
      </c>
      <c r="D256" t="s">
        <v>20</v>
      </c>
      <c r="E256" t="s">
        <v>19</v>
      </c>
      <c r="F256" t="s">
        <v>26</v>
      </c>
      <c r="G256">
        <v>16</v>
      </c>
    </row>
    <row r="257" spans="1:7" x14ac:dyDescent="0.3">
      <c r="A257">
        <v>256</v>
      </c>
      <c r="B257">
        <v>164</v>
      </c>
      <c r="C257" s="1">
        <v>45671</v>
      </c>
      <c r="D257" t="s">
        <v>20</v>
      </c>
      <c r="E257" t="s">
        <v>19</v>
      </c>
      <c r="F257" t="s">
        <v>25</v>
      </c>
      <c r="G257">
        <v>30</v>
      </c>
    </row>
    <row r="258" spans="1:7" x14ac:dyDescent="0.3">
      <c r="A258">
        <v>257</v>
      </c>
      <c r="B258">
        <v>165</v>
      </c>
      <c r="C258" s="1">
        <v>45671</v>
      </c>
      <c r="D258" t="s">
        <v>21</v>
      </c>
      <c r="E258" t="s">
        <v>16</v>
      </c>
      <c r="F258" t="s">
        <v>25</v>
      </c>
      <c r="G258">
        <v>27</v>
      </c>
    </row>
    <row r="259" spans="1:7" x14ac:dyDescent="0.3">
      <c r="A259">
        <v>258</v>
      </c>
      <c r="B259">
        <v>166</v>
      </c>
      <c r="C259" s="1">
        <v>45671</v>
      </c>
      <c r="D259" t="s">
        <v>21</v>
      </c>
      <c r="E259" t="s">
        <v>17</v>
      </c>
      <c r="F259" t="s">
        <v>26</v>
      </c>
      <c r="G259">
        <v>10</v>
      </c>
    </row>
    <row r="260" spans="1:7" x14ac:dyDescent="0.3">
      <c r="A260">
        <v>259</v>
      </c>
      <c r="B260">
        <v>167</v>
      </c>
      <c r="C260" s="1">
        <v>45671</v>
      </c>
      <c r="D260" t="s">
        <v>21</v>
      </c>
      <c r="E260" t="s">
        <v>18</v>
      </c>
      <c r="F260" t="s">
        <v>27</v>
      </c>
      <c r="G260">
        <v>5</v>
      </c>
    </row>
    <row r="261" spans="1:7" x14ac:dyDescent="0.3">
      <c r="A261">
        <v>260</v>
      </c>
      <c r="B261">
        <v>169</v>
      </c>
      <c r="C261" s="1">
        <v>45672</v>
      </c>
      <c r="D261" t="s">
        <v>15</v>
      </c>
      <c r="E261" t="s">
        <v>16</v>
      </c>
      <c r="F261" t="s">
        <v>25</v>
      </c>
      <c r="G261">
        <v>32</v>
      </c>
    </row>
    <row r="262" spans="1:7" x14ac:dyDescent="0.3">
      <c r="A262">
        <v>261</v>
      </c>
      <c r="B262">
        <v>169</v>
      </c>
      <c r="C262" s="1">
        <v>45672</v>
      </c>
      <c r="D262" t="s">
        <v>15</v>
      </c>
      <c r="E262" t="s">
        <v>16</v>
      </c>
      <c r="F262" t="s">
        <v>25</v>
      </c>
      <c r="G262">
        <v>19</v>
      </c>
    </row>
    <row r="263" spans="1:7" x14ac:dyDescent="0.3">
      <c r="A263">
        <v>262</v>
      </c>
      <c r="B263">
        <v>170</v>
      </c>
      <c r="C263" s="1">
        <v>45672</v>
      </c>
      <c r="D263" t="s">
        <v>15</v>
      </c>
      <c r="E263" t="s">
        <v>17</v>
      </c>
      <c r="F263" t="s">
        <v>27</v>
      </c>
      <c r="G263">
        <v>23</v>
      </c>
    </row>
    <row r="264" spans="1:7" x14ac:dyDescent="0.3">
      <c r="A264">
        <v>263</v>
      </c>
      <c r="B264">
        <v>172</v>
      </c>
      <c r="C264" s="1">
        <v>45672</v>
      </c>
      <c r="D264" t="s">
        <v>15</v>
      </c>
      <c r="E264" t="s">
        <v>19</v>
      </c>
      <c r="F264" t="s">
        <v>28</v>
      </c>
      <c r="G264">
        <v>5</v>
      </c>
    </row>
    <row r="265" spans="1:7" x14ac:dyDescent="0.3">
      <c r="A265">
        <v>264</v>
      </c>
      <c r="B265">
        <v>173</v>
      </c>
      <c r="C265" s="1">
        <v>45672</v>
      </c>
      <c r="D265" t="s">
        <v>20</v>
      </c>
      <c r="E265" t="s">
        <v>16</v>
      </c>
      <c r="F265" t="s">
        <v>30</v>
      </c>
      <c r="G265">
        <v>5</v>
      </c>
    </row>
    <row r="266" spans="1:7" x14ac:dyDescent="0.3">
      <c r="A266">
        <v>265</v>
      </c>
      <c r="B266">
        <v>173</v>
      </c>
      <c r="C266" s="1">
        <v>45672</v>
      </c>
      <c r="D266" t="s">
        <v>20</v>
      </c>
      <c r="E266" t="s">
        <v>16</v>
      </c>
      <c r="F266" t="s">
        <v>29</v>
      </c>
      <c r="G266">
        <v>19</v>
      </c>
    </row>
    <row r="267" spans="1:7" x14ac:dyDescent="0.3">
      <c r="A267">
        <v>266</v>
      </c>
      <c r="B267">
        <v>173</v>
      </c>
      <c r="C267" s="1">
        <v>45672</v>
      </c>
      <c r="D267" t="s">
        <v>20</v>
      </c>
      <c r="E267" t="s">
        <v>16</v>
      </c>
      <c r="F267" t="s">
        <v>30</v>
      </c>
      <c r="G267">
        <v>9</v>
      </c>
    </row>
    <row r="268" spans="1:7" x14ac:dyDescent="0.3">
      <c r="A268">
        <v>267</v>
      </c>
      <c r="B268">
        <v>174</v>
      </c>
      <c r="C268" s="1">
        <v>45672</v>
      </c>
      <c r="D268" t="s">
        <v>20</v>
      </c>
      <c r="E268" t="s">
        <v>17</v>
      </c>
      <c r="F268" t="s">
        <v>25</v>
      </c>
      <c r="G268">
        <v>12</v>
      </c>
    </row>
    <row r="269" spans="1:7" x14ac:dyDescent="0.3">
      <c r="A269">
        <v>268</v>
      </c>
      <c r="B269">
        <v>177</v>
      </c>
      <c r="C269" s="1">
        <v>45672</v>
      </c>
      <c r="D269" t="s">
        <v>21</v>
      </c>
      <c r="E269" t="s">
        <v>16</v>
      </c>
      <c r="F269" t="s">
        <v>25</v>
      </c>
      <c r="G269">
        <v>252</v>
      </c>
    </row>
    <row r="270" spans="1:7" x14ac:dyDescent="0.3">
      <c r="A270">
        <v>269</v>
      </c>
      <c r="B270">
        <v>177</v>
      </c>
      <c r="C270" s="1">
        <v>45672</v>
      </c>
      <c r="D270" t="s">
        <v>21</v>
      </c>
      <c r="E270" t="s">
        <v>16</v>
      </c>
      <c r="F270" t="s">
        <v>28</v>
      </c>
      <c r="G270">
        <v>63</v>
      </c>
    </row>
    <row r="271" spans="1:7" x14ac:dyDescent="0.3">
      <c r="A271">
        <v>270</v>
      </c>
      <c r="B271">
        <v>179</v>
      </c>
      <c r="C271" s="1">
        <v>45672</v>
      </c>
      <c r="D271" t="s">
        <v>21</v>
      </c>
      <c r="E271" t="s">
        <v>18</v>
      </c>
      <c r="F271" t="s">
        <v>27</v>
      </c>
      <c r="G271">
        <v>8</v>
      </c>
    </row>
    <row r="272" spans="1:7" x14ac:dyDescent="0.3">
      <c r="A272">
        <v>271</v>
      </c>
      <c r="B272">
        <v>179</v>
      </c>
      <c r="C272" s="1">
        <v>45672</v>
      </c>
      <c r="D272" t="s">
        <v>21</v>
      </c>
      <c r="E272" t="s">
        <v>18</v>
      </c>
      <c r="F272" t="s">
        <v>27</v>
      </c>
      <c r="G272">
        <v>87</v>
      </c>
    </row>
    <row r="273" spans="1:7" x14ac:dyDescent="0.3">
      <c r="A273">
        <v>272</v>
      </c>
      <c r="B273">
        <v>179</v>
      </c>
      <c r="C273" s="1">
        <v>45672</v>
      </c>
      <c r="D273" t="s">
        <v>21</v>
      </c>
      <c r="E273" t="s">
        <v>18</v>
      </c>
      <c r="F273" t="s">
        <v>25</v>
      </c>
      <c r="G273">
        <v>90</v>
      </c>
    </row>
    <row r="274" spans="1:7" x14ac:dyDescent="0.3">
      <c r="A274">
        <v>273</v>
      </c>
      <c r="B274">
        <v>180</v>
      </c>
      <c r="C274" s="1">
        <v>45672</v>
      </c>
      <c r="D274" t="s">
        <v>21</v>
      </c>
      <c r="E274" t="s">
        <v>19</v>
      </c>
      <c r="F274" t="s">
        <v>25</v>
      </c>
      <c r="G274">
        <v>40</v>
      </c>
    </row>
    <row r="275" spans="1:7" x14ac:dyDescent="0.3">
      <c r="A275">
        <v>274</v>
      </c>
      <c r="B275">
        <v>180</v>
      </c>
      <c r="C275" s="1">
        <v>45672</v>
      </c>
      <c r="D275" t="s">
        <v>21</v>
      </c>
      <c r="E275" t="s">
        <v>19</v>
      </c>
      <c r="F275" t="s">
        <v>29</v>
      </c>
      <c r="G275">
        <v>5</v>
      </c>
    </row>
    <row r="276" spans="1:7" x14ac:dyDescent="0.3">
      <c r="A276">
        <v>275</v>
      </c>
      <c r="B276">
        <v>180</v>
      </c>
      <c r="C276" s="1">
        <v>45672</v>
      </c>
      <c r="D276" t="s">
        <v>21</v>
      </c>
      <c r="E276" t="s">
        <v>19</v>
      </c>
      <c r="F276" t="s">
        <v>26</v>
      </c>
      <c r="G276">
        <v>29</v>
      </c>
    </row>
    <row r="277" spans="1:7" x14ac:dyDescent="0.3">
      <c r="A277">
        <v>276</v>
      </c>
      <c r="B277">
        <v>180</v>
      </c>
      <c r="C277" s="1">
        <v>45672</v>
      </c>
      <c r="D277" t="s">
        <v>21</v>
      </c>
      <c r="E277" t="s">
        <v>19</v>
      </c>
      <c r="F277" t="s">
        <v>26</v>
      </c>
      <c r="G277">
        <v>5</v>
      </c>
    </row>
    <row r="278" spans="1:7" x14ac:dyDescent="0.3">
      <c r="A278">
        <v>277</v>
      </c>
      <c r="B278">
        <v>183</v>
      </c>
      <c r="C278" s="1">
        <v>45673</v>
      </c>
      <c r="D278" t="s">
        <v>15</v>
      </c>
      <c r="E278" t="s">
        <v>18</v>
      </c>
      <c r="F278" t="s">
        <v>27</v>
      </c>
      <c r="G278">
        <v>14</v>
      </c>
    </row>
    <row r="279" spans="1:7" x14ac:dyDescent="0.3">
      <c r="A279">
        <v>278</v>
      </c>
      <c r="B279">
        <v>185</v>
      </c>
      <c r="C279" s="1">
        <v>45673</v>
      </c>
      <c r="D279" t="s">
        <v>20</v>
      </c>
      <c r="E279" t="s">
        <v>16</v>
      </c>
      <c r="F279" t="s">
        <v>25</v>
      </c>
      <c r="G279">
        <v>66</v>
      </c>
    </row>
    <row r="280" spans="1:7" x14ac:dyDescent="0.3">
      <c r="A280">
        <v>279</v>
      </c>
      <c r="B280">
        <v>186</v>
      </c>
      <c r="C280" s="1">
        <v>45673</v>
      </c>
      <c r="D280" t="s">
        <v>20</v>
      </c>
      <c r="E280" t="s">
        <v>17</v>
      </c>
      <c r="F280" t="s">
        <v>25</v>
      </c>
      <c r="G280">
        <v>8</v>
      </c>
    </row>
    <row r="281" spans="1:7" x14ac:dyDescent="0.3">
      <c r="A281">
        <v>280</v>
      </c>
      <c r="B281">
        <v>187</v>
      </c>
      <c r="C281" s="1">
        <v>45673</v>
      </c>
      <c r="D281" t="s">
        <v>20</v>
      </c>
      <c r="E281" t="s">
        <v>18</v>
      </c>
      <c r="F281" t="s">
        <v>26</v>
      </c>
      <c r="G281">
        <v>36</v>
      </c>
    </row>
    <row r="282" spans="1:7" x14ac:dyDescent="0.3">
      <c r="A282">
        <v>281</v>
      </c>
      <c r="B282">
        <v>187</v>
      </c>
      <c r="C282" s="1">
        <v>45673</v>
      </c>
      <c r="D282" t="s">
        <v>20</v>
      </c>
      <c r="E282" t="s">
        <v>18</v>
      </c>
      <c r="F282" t="s">
        <v>25</v>
      </c>
      <c r="G282">
        <v>8</v>
      </c>
    </row>
    <row r="283" spans="1:7" x14ac:dyDescent="0.3">
      <c r="A283">
        <v>282</v>
      </c>
      <c r="B283">
        <v>188</v>
      </c>
      <c r="C283" s="1">
        <v>45673</v>
      </c>
      <c r="D283" t="s">
        <v>20</v>
      </c>
      <c r="E283" t="s">
        <v>19</v>
      </c>
      <c r="F283" t="s">
        <v>27</v>
      </c>
      <c r="G283">
        <v>40</v>
      </c>
    </row>
    <row r="284" spans="1:7" x14ac:dyDescent="0.3">
      <c r="A284">
        <v>283</v>
      </c>
      <c r="B284">
        <v>188</v>
      </c>
      <c r="C284" s="1">
        <v>45673</v>
      </c>
      <c r="D284" t="s">
        <v>20</v>
      </c>
      <c r="E284" t="s">
        <v>19</v>
      </c>
      <c r="F284" t="s">
        <v>25</v>
      </c>
      <c r="G284">
        <v>5</v>
      </c>
    </row>
    <row r="285" spans="1:7" x14ac:dyDescent="0.3">
      <c r="A285">
        <v>284</v>
      </c>
      <c r="B285">
        <v>188</v>
      </c>
      <c r="C285" s="1">
        <v>45673</v>
      </c>
      <c r="D285" t="s">
        <v>20</v>
      </c>
      <c r="E285" t="s">
        <v>19</v>
      </c>
      <c r="F285" t="s">
        <v>25</v>
      </c>
      <c r="G285">
        <v>5</v>
      </c>
    </row>
    <row r="286" spans="1:7" x14ac:dyDescent="0.3">
      <c r="A286">
        <v>285</v>
      </c>
      <c r="B286">
        <v>190</v>
      </c>
      <c r="C286" s="1">
        <v>45673</v>
      </c>
      <c r="D286" t="s">
        <v>21</v>
      </c>
      <c r="E286" t="s">
        <v>17</v>
      </c>
      <c r="F286" t="s">
        <v>25</v>
      </c>
      <c r="G286">
        <v>7</v>
      </c>
    </row>
    <row r="287" spans="1:7" x14ac:dyDescent="0.3">
      <c r="A287">
        <v>286</v>
      </c>
      <c r="B287">
        <v>190</v>
      </c>
      <c r="C287" s="1">
        <v>45673</v>
      </c>
      <c r="D287" t="s">
        <v>21</v>
      </c>
      <c r="E287" t="s">
        <v>17</v>
      </c>
      <c r="F287" t="s">
        <v>28</v>
      </c>
      <c r="G287">
        <v>201</v>
      </c>
    </row>
    <row r="288" spans="1:7" x14ac:dyDescent="0.3">
      <c r="A288">
        <v>287</v>
      </c>
      <c r="B288">
        <v>191</v>
      </c>
      <c r="C288" s="1">
        <v>45673</v>
      </c>
      <c r="D288" t="s">
        <v>21</v>
      </c>
      <c r="E288" t="s">
        <v>18</v>
      </c>
      <c r="F288" t="s">
        <v>27</v>
      </c>
      <c r="G288">
        <v>21</v>
      </c>
    </row>
    <row r="289" spans="1:7" x14ac:dyDescent="0.3">
      <c r="A289">
        <v>288</v>
      </c>
      <c r="B289">
        <v>191</v>
      </c>
      <c r="C289" s="1">
        <v>45673</v>
      </c>
      <c r="D289" t="s">
        <v>21</v>
      </c>
      <c r="E289" t="s">
        <v>18</v>
      </c>
      <c r="F289" t="s">
        <v>25</v>
      </c>
      <c r="G289">
        <v>5</v>
      </c>
    </row>
    <row r="290" spans="1:7" x14ac:dyDescent="0.3">
      <c r="A290">
        <v>289</v>
      </c>
      <c r="B290">
        <v>191</v>
      </c>
      <c r="C290" s="1">
        <v>45673</v>
      </c>
      <c r="D290" t="s">
        <v>21</v>
      </c>
      <c r="E290" t="s">
        <v>18</v>
      </c>
      <c r="F290" t="s">
        <v>25</v>
      </c>
      <c r="G290">
        <v>54</v>
      </c>
    </row>
    <row r="291" spans="1:7" x14ac:dyDescent="0.3">
      <c r="A291">
        <v>290</v>
      </c>
      <c r="B291">
        <v>192</v>
      </c>
      <c r="C291" s="1">
        <v>45673</v>
      </c>
      <c r="D291" t="s">
        <v>21</v>
      </c>
      <c r="E291" t="s">
        <v>19</v>
      </c>
      <c r="F291" t="s">
        <v>26</v>
      </c>
      <c r="G291">
        <v>17</v>
      </c>
    </row>
    <row r="292" spans="1:7" x14ac:dyDescent="0.3">
      <c r="A292">
        <v>291</v>
      </c>
      <c r="B292">
        <v>193</v>
      </c>
      <c r="C292" s="1">
        <v>45674</v>
      </c>
      <c r="D292" t="s">
        <v>15</v>
      </c>
      <c r="E292" t="s">
        <v>16</v>
      </c>
      <c r="F292" t="s">
        <v>26</v>
      </c>
      <c r="G292">
        <v>60</v>
      </c>
    </row>
    <row r="293" spans="1:7" x14ac:dyDescent="0.3">
      <c r="A293">
        <v>292</v>
      </c>
      <c r="B293">
        <v>193</v>
      </c>
      <c r="C293" s="1">
        <v>45674</v>
      </c>
      <c r="D293" t="s">
        <v>15</v>
      </c>
      <c r="E293" t="s">
        <v>16</v>
      </c>
      <c r="F293" t="s">
        <v>27</v>
      </c>
      <c r="G293">
        <v>5</v>
      </c>
    </row>
    <row r="294" spans="1:7" x14ac:dyDescent="0.3">
      <c r="A294">
        <v>293</v>
      </c>
      <c r="B294">
        <v>193</v>
      </c>
      <c r="C294" s="1">
        <v>45674</v>
      </c>
      <c r="D294" t="s">
        <v>15</v>
      </c>
      <c r="E294" t="s">
        <v>16</v>
      </c>
      <c r="F294" t="s">
        <v>28</v>
      </c>
      <c r="G294">
        <v>70</v>
      </c>
    </row>
    <row r="295" spans="1:7" x14ac:dyDescent="0.3">
      <c r="A295">
        <v>294</v>
      </c>
      <c r="B295">
        <v>193</v>
      </c>
      <c r="C295" s="1">
        <v>45674</v>
      </c>
      <c r="D295" t="s">
        <v>15</v>
      </c>
      <c r="E295" t="s">
        <v>16</v>
      </c>
      <c r="F295" t="s">
        <v>26</v>
      </c>
      <c r="G295">
        <v>7</v>
      </c>
    </row>
    <row r="296" spans="1:7" x14ac:dyDescent="0.3">
      <c r="A296">
        <v>295</v>
      </c>
      <c r="B296">
        <v>194</v>
      </c>
      <c r="C296" s="1">
        <v>45674</v>
      </c>
      <c r="D296" t="s">
        <v>15</v>
      </c>
      <c r="E296" t="s">
        <v>17</v>
      </c>
      <c r="F296" t="s">
        <v>26</v>
      </c>
      <c r="G296">
        <v>223</v>
      </c>
    </row>
    <row r="297" spans="1:7" x14ac:dyDescent="0.3">
      <c r="A297">
        <v>296</v>
      </c>
      <c r="B297">
        <v>195</v>
      </c>
      <c r="C297" s="1">
        <v>45674</v>
      </c>
      <c r="D297" t="s">
        <v>15</v>
      </c>
      <c r="E297" t="s">
        <v>18</v>
      </c>
      <c r="F297" t="s">
        <v>26</v>
      </c>
      <c r="G297">
        <v>63</v>
      </c>
    </row>
    <row r="298" spans="1:7" x14ac:dyDescent="0.3">
      <c r="A298">
        <v>297</v>
      </c>
      <c r="B298">
        <v>195</v>
      </c>
      <c r="C298" s="1">
        <v>45674</v>
      </c>
      <c r="D298" t="s">
        <v>15</v>
      </c>
      <c r="E298" t="s">
        <v>18</v>
      </c>
      <c r="F298" t="s">
        <v>27</v>
      </c>
      <c r="G298">
        <v>7</v>
      </c>
    </row>
    <row r="299" spans="1:7" x14ac:dyDescent="0.3">
      <c r="A299">
        <v>298</v>
      </c>
      <c r="B299">
        <v>195</v>
      </c>
      <c r="C299" s="1">
        <v>45674</v>
      </c>
      <c r="D299" t="s">
        <v>15</v>
      </c>
      <c r="E299" t="s">
        <v>18</v>
      </c>
      <c r="F299" t="s">
        <v>26</v>
      </c>
      <c r="G299">
        <v>49</v>
      </c>
    </row>
    <row r="300" spans="1:7" x14ac:dyDescent="0.3">
      <c r="A300">
        <v>299</v>
      </c>
      <c r="B300">
        <v>196</v>
      </c>
      <c r="C300" s="1">
        <v>45674</v>
      </c>
      <c r="D300" t="s">
        <v>15</v>
      </c>
      <c r="E300" t="s">
        <v>19</v>
      </c>
      <c r="F300" t="s">
        <v>27</v>
      </c>
      <c r="G300">
        <v>5</v>
      </c>
    </row>
    <row r="301" spans="1:7" x14ac:dyDescent="0.3">
      <c r="A301">
        <v>300</v>
      </c>
      <c r="B301">
        <v>196</v>
      </c>
      <c r="C301" s="1">
        <v>45674</v>
      </c>
      <c r="D301" t="s">
        <v>15</v>
      </c>
      <c r="E301" t="s">
        <v>19</v>
      </c>
      <c r="F301" t="s">
        <v>25</v>
      </c>
      <c r="G301">
        <v>20</v>
      </c>
    </row>
    <row r="302" spans="1:7" x14ac:dyDescent="0.3">
      <c r="A302">
        <v>301</v>
      </c>
      <c r="B302">
        <v>197</v>
      </c>
      <c r="C302" s="1">
        <v>45674</v>
      </c>
      <c r="D302" t="s">
        <v>20</v>
      </c>
      <c r="E302" t="s">
        <v>16</v>
      </c>
      <c r="F302" t="s">
        <v>25</v>
      </c>
      <c r="G302">
        <v>21</v>
      </c>
    </row>
    <row r="303" spans="1:7" x14ac:dyDescent="0.3">
      <c r="A303">
        <v>302</v>
      </c>
      <c r="B303">
        <v>198</v>
      </c>
      <c r="C303" s="1">
        <v>45674</v>
      </c>
      <c r="D303" t="s">
        <v>20</v>
      </c>
      <c r="E303" t="s">
        <v>17</v>
      </c>
      <c r="F303" t="s">
        <v>27</v>
      </c>
      <c r="G303">
        <v>39</v>
      </c>
    </row>
    <row r="304" spans="1:7" x14ac:dyDescent="0.3">
      <c r="A304">
        <v>303</v>
      </c>
      <c r="B304">
        <v>198</v>
      </c>
      <c r="C304" s="1">
        <v>45674</v>
      </c>
      <c r="D304" t="s">
        <v>20</v>
      </c>
      <c r="E304" t="s">
        <v>17</v>
      </c>
      <c r="F304" t="s">
        <v>27</v>
      </c>
      <c r="G304">
        <v>13</v>
      </c>
    </row>
    <row r="305" spans="1:7" x14ac:dyDescent="0.3">
      <c r="A305">
        <v>304</v>
      </c>
      <c r="B305">
        <v>198</v>
      </c>
      <c r="C305" s="1">
        <v>45674</v>
      </c>
      <c r="D305" t="s">
        <v>20</v>
      </c>
      <c r="E305" t="s">
        <v>17</v>
      </c>
      <c r="F305" t="s">
        <v>25</v>
      </c>
      <c r="G305">
        <v>18</v>
      </c>
    </row>
    <row r="306" spans="1:7" x14ac:dyDescent="0.3">
      <c r="A306">
        <v>305</v>
      </c>
      <c r="B306">
        <v>199</v>
      </c>
      <c r="C306" s="1">
        <v>45674</v>
      </c>
      <c r="D306" t="s">
        <v>20</v>
      </c>
      <c r="E306" t="s">
        <v>18</v>
      </c>
      <c r="F306" t="s">
        <v>30</v>
      </c>
      <c r="G306">
        <v>25</v>
      </c>
    </row>
    <row r="307" spans="1:7" x14ac:dyDescent="0.3">
      <c r="A307">
        <v>306</v>
      </c>
      <c r="B307">
        <v>199</v>
      </c>
      <c r="C307" s="1">
        <v>45674</v>
      </c>
      <c r="D307" t="s">
        <v>20</v>
      </c>
      <c r="E307" t="s">
        <v>18</v>
      </c>
      <c r="F307" t="s">
        <v>26</v>
      </c>
      <c r="G307">
        <v>93</v>
      </c>
    </row>
    <row r="308" spans="1:7" x14ac:dyDescent="0.3">
      <c r="A308">
        <v>307</v>
      </c>
      <c r="B308">
        <v>201</v>
      </c>
      <c r="C308" s="1">
        <v>45674</v>
      </c>
      <c r="D308" t="s">
        <v>21</v>
      </c>
      <c r="E308" t="s">
        <v>16</v>
      </c>
      <c r="F308" t="s">
        <v>28</v>
      </c>
      <c r="G308">
        <v>25</v>
      </c>
    </row>
    <row r="309" spans="1:7" x14ac:dyDescent="0.3">
      <c r="A309">
        <v>308</v>
      </c>
      <c r="B309">
        <v>201</v>
      </c>
      <c r="C309" s="1">
        <v>45674</v>
      </c>
      <c r="D309" t="s">
        <v>21</v>
      </c>
      <c r="E309" t="s">
        <v>16</v>
      </c>
      <c r="F309" t="s">
        <v>25</v>
      </c>
      <c r="G309">
        <v>29</v>
      </c>
    </row>
    <row r="310" spans="1:7" x14ac:dyDescent="0.3">
      <c r="A310">
        <v>309</v>
      </c>
      <c r="B310">
        <v>202</v>
      </c>
      <c r="C310" s="1">
        <v>45674</v>
      </c>
      <c r="D310" t="s">
        <v>21</v>
      </c>
      <c r="E310" t="s">
        <v>17</v>
      </c>
      <c r="F310" t="s">
        <v>25</v>
      </c>
      <c r="G310">
        <v>42</v>
      </c>
    </row>
    <row r="311" spans="1:7" x14ac:dyDescent="0.3">
      <c r="A311">
        <v>310</v>
      </c>
      <c r="B311">
        <v>202</v>
      </c>
      <c r="C311" s="1">
        <v>45674</v>
      </c>
      <c r="D311" t="s">
        <v>21</v>
      </c>
      <c r="E311" t="s">
        <v>17</v>
      </c>
      <c r="F311" t="s">
        <v>26</v>
      </c>
      <c r="G311">
        <v>9</v>
      </c>
    </row>
    <row r="312" spans="1:7" x14ac:dyDescent="0.3">
      <c r="A312">
        <v>311</v>
      </c>
      <c r="B312">
        <v>204</v>
      </c>
      <c r="C312" s="1">
        <v>45674</v>
      </c>
      <c r="D312" t="s">
        <v>21</v>
      </c>
      <c r="E312" t="s">
        <v>19</v>
      </c>
      <c r="F312" t="s">
        <v>27</v>
      </c>
      <c r="G312">
        <v>5</v>
      </c>
    </row>
    <row r="313" spans="1:7" x14ac:dyDescent="0.3">
      <c r="A313">
        <v>312</v>
      </c>
      <c r="B313">
        <v>204</v>
      </c>
      <c r="C313" s="1">
        <v>45674</v>
      </c>
      <c r="D313" t="s">
        <v>21</v>
      </c>
      <c r="E313" t="s">
        <v>19</v>
      </c>
      <c r="F313" t="s">
        <v>28</v>
      </c>
      <c r="G313">
        <v>39</v>
      </c>
    </row>
    <row r="314" spans="1:7" x14ac:dyDescent="0.3">
      <c r="A314">
        <v>313</v>
      </c>
      <c r="B314">
        <v>206</v>
      </c>
      <c r="C314" s="1">
        <v>45675</v>
      </c>
      <c r="D314" t="s">
        <v>15</v>
      </c>
      <c r="E314" t="s">
        <v>17</v>
      </c>
      <c r="F314" t="s">
        <v>25</v>
      </c>
      <c r="G314">
        <v>42</v>
      </c>
    </row>
    <row r="315" spans="1:7" x14ac:dyDescent="0.3">
      <c r="A315">
        <v>314</v>
      </c>
      <c r="B315">
        <v>206</v>
      </c>
      <c r="C315" s="1">
        <v>45675</v>
      </c>
      <c r="D315" t="s">
        <v>15</v>
      </c>
      <c r="E315" t="s">
        <v>17</v>
      </c>
      <c r="F315" t="s">
        <v>27</v>
      </c>
      <c r="G315">
        <v>36</v>
      </c>
    </row>
    <row r="316" spans="1:7" x14ac:dyDescent="0.3">
      <c r="A316">
        <v>315</v>
      </c>
      <c r="B316">
        <v>206</v>
      </c>
      <c r="C316" s="1">
        <v>45675</v>
      </c>
      <c r="D316" t="s">
        <v>15</v>
      </c>
      <c r="E316" t="s">
        <v>17</v>
      </c>
      <c r="F316" t="s">
        <v>29</v>
      </c>
      <c r="G316">
        <v>10</v>
      </c>
    </row>
    <row r="317" spans="1:7" x14ac:dyDescent="0.3">
      <c r="A317">
        <v>316</v>
      </c>
      <c r="B317">
        <v>207</v>
      </c>
      <c r="C317" s="1">
        <v>45675</v>
      </c>
      <c r="D317" t="s">
        <v>15</v>
      </c>
      <c r="E317" t="s">
        <v>18</v>
      </c>
      <c r="F317" t="s">
        <v>26</v>
      </c>
      <c r="G317">
        <v>5</v>
      </c>
    </row>
    <row r="318" spans="1:7" x14ac:dyDescent="0.3">
      <c r="A318">
        <v>317</v>
      </c>
      <c r="B318">
        <v>207</v>
      </c>
      <c r="C318" s="1">
        <v>45675</v>
      </c>
      <c r="D318" t="s">
        <v>15</v>
      </c>
      <c r="E318" t="s">
        <v>18</v>
      </c>
      <c r="F318" t="s">
        <v>26</v>
      </c>
      <c r="G318">
        <v>18</v>
      </c>
    </row>
    <row r="319" spans="1:7" x14ac:dyDescent="0.3">
      <c r="A319">
        <v>318</v>
      </c>
      <c r="B319">
        <v>208</v>
      </c>
      <c r="C319" s="1">
        <v>45675</v>
      </c>
      <c r="D319" t="s">
        <v>15</v>
      </c>
      <c r="E319" t="s">
        <v>19</v>
      </c>
      <c r="F319" t="s">
        <v>25</v>
      </c>
      <c r="G319">
        <v>5</v>
      </c>
    </row>
    <row r="320" spans="1:7" x14ac:dyDescent="0.3">
      <c r="A320">
        <v>319</v>
      </c>
      <c r="B320">
        <v>208</v>
      </c>
      <c r="C320" s="1">
        <v>45675</v>
      </c>
      <c r="D320" t="s">
        <v>15</v>
      </c>
      <c r="E320" t="s">
        <v>19</v>
      </c>
      <c r="F320" t="s">
        <v>26</v>
      </c>
      <c r="G320">
        <v>28</v>
      </c>
    </row>
    <row r="321" spans="1:7" x14ac:dyDescent="0.3">
      <c r="A321">
        <v>320</v>
      </c>
      <c r="B321">
        <v>209</v>
      </c>
      <c r="C321" s="1">
        <v>45675</v>
      </c>
      <c r="D321" t="s">
        <v>20</v>
      </c>
      <c r="E321" t="s">
        <v>16</v>
      </c>
      <c r="F321" t="s">
        <v>28</v>
      </c>
      <c r="G321">
        <v>8</v>
      </c>
    </row>
    <row r="322" spans="1:7" x14ac:dyDescent="0.3">
      <c r="A322">
        <v>321</v>
      </c>
      <c r="B322">
        <v>209</v>
      </c>
      <c r="C322" s="1">
        <v>45675</v>
      </c>
      <c r="D322" t="s">
        <v>20</v>
      </c>
      <c r="E322" t="s">
        <v>16</v>
      </c>
      <c r="F322" t="s">
        <v>26</v>
      </c>
      <c r="G322">
        <v>15</v>
      </c>
    </row>
    <row r="323" spans="1:7" x14ac:dyDescent="0.3">
      <c r="A323">
        <v>322</v>
      </c>
      <c r="B323">
        <v>210</v>
      </c>
      <c r="C323" s="1">
        <v>45675</v>
      </c>
      <c r="D323" t="s">
        <v>20</v>
      </c>
      <c r="E323" t="s">
        <v>17</v>
      </c>
      <c r="F323" t="s">
        <v>25</v>
      </c>
      <c r="G323">
        <v>57</v>
      </c>
    </row>
    <row r="324" spans="1:7" x14ac:dyDescent="0.3">
      <c r="A324">
        <v>323</v>
      </c>
      <c r="B324">
        <v>210</v>
      </c>
      <c r="C324" s="1">
        <v>45675</v>
      </c>
      <c r="D324" t="s">
        <v>20</v>
      </c>
      <c r="E324" t="s">
        <v>17</v>
      </c>
      <c r="F324" t="s">
        <v>27</v>
      </c>
      <c r="G324">
        <v>6</v>
      </c>
    </row>
    <row r="325" spans="1:7" x14ac:dyDescent="0.3">
      <c r="A325">
        <v>324</v>
      </c>
      <c r="B325">
        <v>211</v>
      </c>
      <c r="C325" s="1">
        <v>45675</v>
      </c>
      <c r="D325" t="s">
        <v>20</v>
      </c>
      <c r="E325" t="s">
        <v>18</v>
      </c>
      <c r="F325" t="s">
        <v>25</v>
      </c>
      <c r="G325">
        <v>11</v>
      </c>
    </row>
    <row r="326" spans="1:7" x14ac:dyDescent="0.3">
      <c r="A326">
        <v>325</v>
      </c>
      <c r="B326">
        <v>212</v>
      </c>
      <c r="C326" s="1">
        <v>45675</v>
      </c>
      <c r="D326" t="s">
        <v>20</v>
      </c>
      <c r="E326" t="s">
        <v>19</v>
      </c>
      <c r="F326" t="s">
        <v>30</v>
      </c>
      <c r="G326">
        <v>5</v>
      </c>
    </row>
    <row r="327" spans="1:7" x14ac:dyDescent="0.3">
      <c r="A327">
        <v>326</v>
      </c>
      <c r="B327">
        <v>213</v>
      </c>
      <c r="C327" s="1">
        <v>45675</v>
      </c>
      <c r="D327" t="s">
        <v>21</v>
      </c>
      <c r="E327" t="s">
        <v>16</v>
      </c>
      <c r="F327" t="s">
        <v>25</v>
      </c>
      <c r="G327">
        <v>49</v>
      </c>
    </row>
    <row r="328" spans="1:7" x14ac:dyDescent="0.3">
      <c r="A328">
        <v>327</v>
      </c>
      <c r="B328">
        <v>213</v>
      </c>
      <c r="C328" s="1">
        <v>45675</v>
      </c>
      <c r="D328" t="s">
        <v>21</v>
      </c>
      <c r="E328" t="s">
        <v>16</v>
      </c>
      <c r="F328" t="s">
        <v>28</v>
      </c>
      <c r="G328">
        <v>65</v>
      </c>
    </row>
    <row r="329" spans="1:7" x14ac:dyDescent="0.3">
      <c r="A329">
        <v>328</v>
      </c>
      <c r="B329">
        <v>214</v>
      </c>
      <c r="C329" s="1">
        <v>45675</v>
      </c>
      <c r="D329" t="s">
        <v>21</v>
      </c>
      <c r="E329" t="s">
        <v>17</v>
      </c>
      <c r="F329" t="s">
        <v>27</v>
      </c>
      <c r="G329">
        <v>63</v>
      </c>
    </row>
    <row r="330" spans="1:7" x14ac:dyDescent="0.3">
      <c r="A330">
        <v>329</v>
      </c>
      <c r="B330">
        <v>216</v>
      </c>
      <c r="C330" s="1">
        <v>45675</v>
      </c>
      <c r="D330" t="s">
        <v>21</v>
      </c>
      <c r="E330" t="s">
        <v>19</v>
      </c>
      <c r="F330" t="s">
        <v>26</v>
      </c>
      <c r="G330">
        <v>47</v>
      </c>
    </row>
    <row r="331" spans="1:7" x14ac:dyDescent="0.3">
      <c r="A331">
        <v>330</v>
      </c>
      <c r="B331">
        <v>216</v>
      </c>
      <c r="C331" s="1">
        <v>45675</v>
      </c>
      <c r="D331" t="s">
        <v>21</v>
      </c>
      <c r="E331" t="s">
        <v>19</v>
      </c>
      <c r="F331" t="s">
        <v>29</v>
      </c>
      <c r="G331">
        <v>6</v>
      </c>
    </row>
    <row r="332" spans="1:7" x14ac:dyDescent="0.3">
      <c r="A332">
        <v>331</v>
      </c>
      <c r="B332">
        <v>217</v>
      </c>
      <c r="C332" s="1">
        <v>45676</v>
      </c>
      <c r="D332" t="s">
        <v>15</v>
      </c>
      <c r="E332" t="s">
        <v>16</v>
      </c>
      <c r="F332" t="s">
        <v>26</v>
      </c>
      <c r="G332">
        <v>5</v>
      </c>
    </row>
    <row r="333" spans="1:7" x14ac:dyDescent="0.3">
      <c r="A333">
        <v>332</v>
      </c>
      <c r="B333">
        <v>217</v>
      </c>
      <c r="C333" s="1">
        <v>45676</v>
      </c>
      <c r="D333" t="s">
        <v>15</v>
      </c>
      <c r="E333" t="s">
        <v>16</v>
      </c>
      <c r="F333" t="s">
        <v>30</v>
      </c>
      <c r="G333">
        <v>5</v>
      </c>
    </row>
    <row r="334" spans="1:7" x14ac:dyDescent="0.3">
      <c r="A334">
        <v>333</v>
      </c>
      <c r="B334">
        <v>217</v>
      </c>
      <c r="C334" s="1">
        <v>45676</v>
      </c>
      <c r="D334" t="s">
        <v>15</v>
      </c>
      <c r="E334" t="s">
        <v>16</v>
      </c>
      <c r="F334" t="s">
        <v>30</v>
      </c>
      <c r="G334">
        <v>22</v>
      </c>
    </row>
    <row r="335" spans="1:7" x14ac:dyDescent="0.3">
      <c r="A335">
        <v>334</v>
      </c>
      <c r="B335">
        <v>217</v>
      </c>
      <c r="C335" s="1">
        <v>45676</v>
      </c>
      <c r="D335" t="s">
        <v>15</v>
      </c>
      <c r="E335" t="s">
        <v>16</v>
      </c>
      <c r="F335" t="s">
        <v>26</v>
      </c>
      <c r="G335">
        <v>5</v>
      </c>
    </row>
    <row r="336" spans="1:7" x14ac:dyDescent="0.3">
      <c r="A336">
        <v>335</v>
      </c>
      <c r="B336">
        <v>218</v>
      </c>
      <c r="C336" s="1">
        <v>45676</v>
      </c>
      <c r="D336" t="s">
        <v>15</v>
      </c>
      <c r="E336" t="s">
        <v>17</v>
      </c>
      <c r="F336" t="s">
        <v>28</v>
      </c>
      <c r="G336">
        <v>48</v>
      </c>
    </row>
    <row r="337" spans="1:7" x14ac:dyDescent="0.3">
      <c r="A337">
        <v>336</v>
      </c>
      <c r="B337">
        <v>219</v>
      </c>
      <c r="C337" s="1">
        <v>45676</v>
      </c>
      <c r="D337" t="s">
        <v>15</v>
      </c>
      <c r="E337" t="s">
        <v>18</v>
      </c>
      <c r="F337" t="s">
        <v>29</v>
      </c>
      <c r="G337">
        <v>17</v>
      </c>
    </row>
    <row r="338" spans="1:7" x14ac:dyDescent="0.3">
      <c r="A338">
        <v>337</v>
      </c>
      <c r="B338">
        <v>219</v>
      </c>
      <c r="C338" s="1">
        <v>45676</v>
      </c>
      <c r="D338" t="s">
        <v>15</v>
      </c>
      <c r="E338" t="s">
        <v>18</v>
      </c>
      <c r="F338" t="s">
        <v>28</v>
      </c>
      <c r="G338">
        <v>114</v>
      </c>
    </row>
    <row r="339" spans="1:7" x14ac:dyDescent="0.3">
      <c r="A339">
        <v>338</v>
      </c>
      <c r="B339">
        <v>221</v>
      </c>
      <c r="C339" s="1">
        <v>45676</v>
      </c>
      <c r="D339" t="s">
        <v>20</v>
      </c>
      <c r="E339" t="s">
        <v>16</v>
      </c>
      <c r="F339" t="s">
        <v>25</v>
      </c>
      <c r="G339">
        <v>23</v>
      </c>
    </row>
    <row r="340" spans="1:7" x14ac:dyDescent="0.3">
      <c r="A340">
        <v>339</v>
      </c>
      <c r="B340">
        <v>221</v>
      </c>
      <c r="C340" s="1">
        <v>45676</v>
      </c>
      <c r="D340" t="s">
        <v>20</v>
      </c>
      <c r="E340" t="s">
        <v>16</v>
      </c>
      <c r="F340" t="s">
        <v>25</v>
      </c>
      <c r="G340">
        <v>53</v>
      </c>
    </row>
    <row r="341" spans="1:7" x14ac:dyDescent="0.3">
      <c r="A341">
        <v>340</v>
      </c>
      <c r="B341">
        <v>221</v>
      </c>
      <c r="C341" s="1">
        <v>45676</v>
      </c>
      <c r="D341" t="s">
        <v>20</v>
      </c>
      <c r="E341" t="s">
        <v>16</v>
      </c>
      <c r="F341" t="s">
        <v>25</v>
      </c>
      <c r="G341">
        <v>167</v>
      </c>
    </row>
    <row r="342" spans="1:7" x14ac:dyDescent="0.3">
      <c r="A342">
        <v>341</v>
      </c>
      <c r="B342">
        <v>221</v>
      </c>
      <c r="C342" s="1">
        <v>45676</v>
      </c>
      <c r="D342" t="s">
        <v>20</v>
      </c>
      <c r="E342" t="s">
        <v>16</v>
      </c>
      <c r="F342" t="s">
        <v>26</v>
      </c>
      <c r="G342">
        <v>51</v>
      </c>
    </row>
    <row r="343" spans="1:7" x14ac:dyDescent="0.3">
      <c r="A343">
        <v>342</v>
      </c>
      <c r="B343">
        <v>222</v>
      </c>
      <c r="C343" s="1">
        <v>45676</v>
      </c>
      <c r="D343" t="s">
        <v>20</v>
      </c>
      <c r="E343" t="s">
        <v>17</v>
      </c>
      <c r="F343" t="s">
        <v>25</v>
      </c>
      <c r="G343">
        <v>31</v>
      </c>
    </row>
    <row r="344" spans="1:7" x14ac:dyDescent="0.3">
      <c r="A344">
        <v>343</v>
      </c>
      <c r="B344">
        <v>222</v>
      </c>
      <c r="C344" s="1">
        <v>45676</v>
      </c>
      <c r="D344" t="s">
        <v>20</v>
      </c>
      <c r="E344" t="s">
        <v>17</v>
      </c>
      <c r="F344" t="s">
        <v>27</v>
      </c>
      <c r="G344">
        <v>5</v>
      </c>
    </row>
    <row r="345" spans="1:7" x14ac:dyDescent="0.3">
      <c r="A345">
        <v>344</v>
      </c>
      <c r="B345">
        <v>222</v>
      </c>
      <c r="C345" s="1">
        <v>45676</v>
      </c>
      <c r="D345" t="s">
        <v>20</v>
      </c>
      <c r="E345" t="s">
        <v>17</v>
      </c>
      <c r="F345" t="s">
        <v>27</v>
      </c>
      <c r="G345">
        <v>5</v>
      </c>
    </row>
    <row r="346" spans="1:7" x14ac:dyDescent="0.3">
      <c r="A346">
        <v>345</v>
      </c>
      <c r="B346">
        <v>223</v>
      </c>
      <c r="C346" s="1">
        <v>45676</v>
      </c>
      <c r="D346" t="s">
        <v>20</v>
      </c>
      <c r="E346" t="s">
        <v>18</v>
      </c>
      <c r="F346" t="s">
        <v>25</v>
      </c>
      <c r="G346">
        <v>31</v>
      </c>
    </row>
    <row r="347" spans="1:7" x14ac:dyDescent="0.3">
      <c r="A347">
        <v>346</v>
      </c>
      <c r="B347">
        <v>223</v>
      </c>
      <c r="C347" s="1">
        <v>45676</v>
      </c>
      <c r="D347" t="s">
        <v>20</v>
      </c>
      <c r="E347" t="s">
        <v>18</v>
      </c>
      <c r="F347" t="s">
        <v>27</v>
      </c>
      <c r="G347">
        <v>5</v>
      </c>
    </row>
    <row r="348" spans="1:7" x14ac:dyDescent="0.3">
      <c r="A348">
        <v>347</v>
      </c>
      <c r="B348">
        <v>223</v>
      </c>
      <c r="C348" s="1">
        <v>45676</v>
      </c>
      <c r="D348" t="s">
        <v>20</v>
      </c>
      <c r="E348" t="s">
        <v>18</v>
      </c>
      <c r="F348" t="s">
        <v>26</v>
      </c>
      <c r="G348">
        <v>7</v>
      </c>
    </row>
    <row r="349" spans="1:7" x14ac:dyDescent="0.3">
      <c r="A349">
        <v>348</v>
      </c>
      <c r="B349">
        <v>225</v>
      </c>
      <c r="C349" s="1">
        <v>45676</v>
      </c>
      <c r="D349" t="s">
        <v>21</v>
      </c>
      <c r="E349" t="s">
        <v>16</v>
      </c>
      <c r="F349" t="s">
        <v>28</v>
      </c>
      <c r="G349">
        <v>5</v>
      </c>
    </row>
    <row r="350" spans="1:7" x14ac:dyDescent="0.3">
      <c r="A350">
        <v>349</v>
      </c>
      <c r="B350">
        <v>226</v>
      </c>
      <c r="C350" s="1">
        <v>45676</v>
      </c>
      <c r="D350" t="s">
        <v>21</v>
      </c>
      <c r="E350" t="s">
        <v>17</v>
      </c>
      <c r="F350" t="s">
        <v>25</v>
      </c>
      <c r="G350">
        <v>16</v>
      </c>
    </row>
    <row r="351" spans="1:7" x14ac:dyDescent="0.3">
      <c r="A351">
        <v>350</v>
      </c>
      <c r="B351">
        <v>228</v>
      </c>
      <c r="C351" s="1">
        <v>45676</v>
      </c>
      <c r="D351" t="s">
        <v>21</v>
      </c>
      <c r="E351" t="s">
        <v>19</v>
      </c>
      <c r="F351" t="s">
        <v>26</v>
      </c>
      <c r="G351">
        <v>22</v>
      </c>
    </row>
    <row r="352" spans="1:7" x14ac:dyDescent="0.3">
      <c r="A352">
        <v>351</v>
      </c>
      <c r="B352">
        <v>228</v>
      </c>
      <c r="C352" s="1">
        <v>45676</v>
      </c>
      <c r="D352" t="s">
        <v>21</v>
      </c>
      <c r="E352" t="s">
        <v>19</v>
      </c>
      <c r="F352" t="s">
        <v>27</v>
      </c>
      <c r="G352">
        <v>5</v>
      </c>
    </row>
    <row r="353" spans="1:7" x14ac:dyDescent="0.3">
      <c r="A353">
        <v>352</v>
      </c>
      <c r="B353">
        <v>230</v>
      </c>
      <c r="C353" s="1">
        <v>45677</v>
      </c>
      <c r="D353" t="s">
        <v>15</v>
      </c>
      <c r="E353" t="s">
        <v>17</v>
      </c>
      <c r="F353" t="s">
        <v>27</v>
      </c>
      <c r="G353">
        <v>13</v>
      </c>
    </row>
    <row r="354" spans="1:7" x14ac:dyDescent="0.3">
      <c r="A354">
        <v>353</v>
      </c>
      <c r="B354">
        <v>230</v>
      </c>
      <c r="C354" s="1">
        <v>45677</v>
      </c>
      <c r="D354" t="s">
        <v>15</v>
      </c>
      <c r="E354" t="s">
        <v>17</v>
      </c>
      <c r="F354" t="s">
        <v>25</v>
      </c>
      <c r="G354">
        <v>13</v>
      </c>
    </row>
    <row r="355" spans="1:7" x14ac:dyDescent="0.3">
      <c r="A355">
        <v>354</v>
      </c>
      <c r="B355">
        <v>230</v>
      </c>
      <c r="C355" s="1">
        <v>45677</v>
      </c>
      <c r="D355" t="s">
        <v>15</v>
      </c>
      <c r="E355" t="s">
        <v>17</v>
      </c>
      <c r="F355" t="s">
        <v>30</v>
      </c>
      <c r="G355">
        <v>5</v>
      </c>
    </row>
    <row r="356" spans="1:7" x14ac:dyDescent="0.3">
      <c r="A356">
        <v>355</v>
      </c>
      <c r="B356">
        <v>232</v>
      </c>
      <c r="C356" s="1">
        <v>45677</v>
      </c>
      <c r="D356" t="s">
        <v>15</v>
      </c>
      <c r="E356" t="s">
        <v>19</v>
      </c>
      <c r="F356" t="s">
        <v>27</v>
      </c>
      <c r="G356">
        <v>12</v>
      </c>
    </row>
    <row r="357" spans="1:7" x14ac:dyDescent="0.3">
      <c r="A357">
        <v>356</v>
      </c>
      <c r="B357">
        <v>232</v>
      </c>
      <c r="C357" s="1">
        <v>45677</v>
      </c>
      <c r="D357" t="s">
        <v>15</v>
      </c>
      <c r="E357" t="s">
        <v>19</v>
      </c>
      <c r="F357" t="s">
        <v>30</v>
      </c>
      <c r="G357">
        <v>5</v>
      </c>
    </row>
    <row r="358" spans="1:7" x14ac:dyDescent="0.3">
      <c r="A358">
        <v>357</v>
      </c>
      <c r="B358">
        <v>232</v>
      </c>
      <c r="C358" s="1">
        <v>45677</v>
      </c>
      <c r="D358" t="s">
        <v>15</v>
      </c>
      <c r="E358" t="s">
        <v>19</v>
      </c>
      <c r="F358" t="s">
        <v>27</v>
      </c>
      <c r="G358">
        <v>5</v>
      </c>
    </row>
    <row r="359" spans="1:7" x14ac:dyDescent="0.3">
      <c r="A359">
        <v>358</v>
      </c>
      <c r="B359">
        <v>233</v>
      </c>
      <c r="C359" s="1">
        <v>45677</v>
      </c>
      <c r="D359" t="s">
        <v>20</v>
      </c>
      <c r="E359" t="s">
        <v>16</v>
      </c>
      <c r="F359" t="s">
        <v>27</v>
      </c>
      <c r="G359">
        <v>12</v>
      </c>
    </row>
    <row r="360" spans="1:7" x14ac:dyDescent="0.3">
      <c r="A360">
        <v>359</v>
      </c>
      <c r="B360">
        <v>234</v>
      </c>
      <c r="C360" s="1">
        <v>45677</v>
      </c>
      <c r="D360" t="s">
        <v>20</v>
      </c>
      <c r="E360" t="s">
        <v>17</v>
      </c>
      <c r="F360" t="s">
        <v>27</v>
      </c>
      <c r="G360">
        <v>5</v>
      </c>
    </row>
    <row r="361" spans="1:7" x14ac:dyDescent="0.3">
      <c r="A361">
        <v>360</v>
      </c>
      <c r="B361">
        <v>234</v>
      </c>
      <c r="C361" s="1">
        <v>45677</v>
      </c>
      <c r="D361" t="s">
        <v>20</v>
      </c>
      <c r="E361" t="s">
        <v>17</v>
      </c>
      <c r="F361" t="s">
        <v>30</v>
      </c>
      <c r="G361">
        <v>5</v>
      </c>
    </row>
    <row r="362" spans="1:7" x14ac:dyDescent="0.3">
      <c r="A362">
        <v>361</v>
      </c>
      <c r="B362">
        <v>234</v>
      </c>
      <c r="C362" s="1">
        <v>45677</v>
      </c>
      <c r="D362" t="s">
        <v>20</v>
      </c>
      <c r="E362" t="s">
        <v>17</v>
      </c>
      <c r="F362" t="s">
        <v>29</v>
      </c>
      <c r="G362">
        <v>15</v>
      </c>
    </row>
    <row r="363" spans="1:7" x14ac:dyDescent="0.3">
      <c r="A363">
        <v>362</v>
      </c>
      <c r="B363">
        <v>235</v>
      </c>
      <c r="C363" s="1">
        <v>45677</v>
      </c>
      <c r="D363" t="s">
        <v>20</v>
      </c>
      <c r="E363" t="s">
        <v>18</v>
      </c>
      <c r="F363" t="s">
        <v>27</v>
      </c>
      <c r="G363">
        <v>5</v>
      </c>
    </row>
    <row r="364" spans="1:7" x14ac:dyDescent="0.3">
      <c r="A364">
        <v>363</v>
      </c>
      <c r="B364">
        <v>235</v>
      </c>
      <c r="C364" s="1">
        <v>45677</v>
      </c>
      <c r="D364" t="s">
        <v>20</v>
      </c>
      <c r="E364" t="s">
        <v>18</v>
      </c>
      <c r="F364" t="s">
        <v>26</v>
      </c>
      <c r="G364">
        <v>21</v>
      </c>
    </row>
    <row r="365" spans="1:7" x14ac:dyDescent="0.3">
      <c r="A365">
        <v>364</v>
      </c>
      <c r="B365">
        <v>235</v>
      </c>
      <c r="C365" s="1">
        <v>45677</v>
      </c>
      <c r="D365" t="s">
        <v>20</v>
      </c>
      <c r="E365" t="s">
        <v>18</v>
      </c>
      <c r="F365" t="s">
        <v>26</v>
      </c>
      <c r="G365">
        <v>5</v>
      </c>
    </row>
    <row r="366" spans="1:7" x14ac:dyDescent="0.3">
      <c r="A366">
        <v>365</v>
      </c>
      <c r="B366">
        <v>237</v>
      </c>
      <c r="C366" s="1">
        <v>45677</v>
      </c>
      <c r="D366" t="s">
        <v>21</v>
      </c>
      <c r="E366" t="s">
        <v>16</v>
      </c>
      <c r="F366" t="s">
        <v>25</v>
      </c>
      <c r="G366">
        <v>67</v>
      </c>
    </row>
    <row r="367" spans="1:7" x14ac:dyDescent="0.3">
      <c r="A367">
        <v>366</v>
      </c>
      <c r="B367">
        <v>237</v>
      </c>
      <c r="C367" s="1">
        <v>45677</v>
      </c>
      <c r="D367" t="s">
        <v>21</v>
      </c>
      <c r="E367" t="s">
        <v>16</v>
      </c>
      <c r="F367" t="s">
        <v>26</v>
      </c>
      <c r="G367">
        <v>6</v>
      </c>
    </row>
    <row r="368" spans="1:7" x14ac:dyDescent="0.3">
      <c r="A368">
        <v>367</v>
      </c>
      <c r="B368">
        <v>237</v>
      </c>
      <c r="C368" s="1">
        <v>45677</v>
      </c>
      <c r="D368" t="s">
        <v>21</v>
      </c>
      <c r="E368" t="s">
        <v>16</v>
      </c>
      <c r="F368" t="s">
        <v>25</v>
      </c>
      <c r="G368">
        <v>5</v>
      </c>
    </row>
    <row r="369" spans="1:7" x14ac:dyDescent="0.3">
      <c r="A369">
        <v>368</v>
      </c>
      <c r="B369">
        <v>238</v>
      </c>
      <c r="C369" s="1">
        <v>45677</v>
      </c>
      <c r="D369" t="s">
        <v>21</v>
      </c>
      <c r="E369" t="s">
        <v>17</v>
      </c>
      <c r="F369" t="s">
        <v>25</v>
      </c>
      <c r="G369">
        <v>154</v>
      </c>
    </row>
    <row r="370" spans="1:7" x14ac:dyDescent="0.3">
      <c r="A370">
        <v>369</v>
      </c>
      <c r="B370">
        <v>239</v>
      </c>
      <c r="C370" s="1">
        <v>45677</v>
      </c>
      <c r="D370" t="s">
        <v>21</v>
      </c>
      <c r="E370" t="s">
        <v>18</v>
      </c>
      <c r="F370" t="s">
        <v>25</v>
      </c>
      <c r="G370">
        <v>42</v>
      </c>
    </row>
    <row r="371" spans="1:7" x14ac:dyDescent="0.3">
      <c r="A371">
        <v>370</v>
      </c>
      <c r="B371">
        <v>239</v>
      </c>
      <c r="C371" s="1">
        <v>45677</v>
      </c>
      <c r="D371" t="s">
        <v>21</v>
      </c>
      <c r="E371" t="s">
        <v>18</v>
      </c>
      <c r="F371" t="s">
        <v>30</v>
      </c>
      <c r="G371">
        <v>15</v>
      </c>
    </row>
    <row r="372" spans="1:7" x14ac:dyDescent="0.3">
      <c r="A372">
        <v>371</v>
      </c>
      <c r="B372">
        <v>240</v>
      </c>
      <c r="C372" s="1">
        <v>45677</v>
      </c>
      <c r="D372" t="s">
        <v>21</v>
      </c>
      <c r="E372" t="s">
        <v>19</v>
      </c>
      <c r="F372" t="s">
        <v>26</v>
      </c>
      <c r="G372">
        <v>26</v>
      </c>
    </row>
    <row r="373" spans="1:7" x14ac:dyDescent="0.3">
      <c r="A373">
        <v>372</v>
      </c>
      <c r="B373">
        <v>240</v>
      </c>
      <c r="C373" s="1">
        <v>45677</v>
      </c>
      <c r="D373" t="s">
        <v>21</v>
      </c>
      <c r="E373" t="s">
        <v>19</v>
      </c>
      <c r="F373" t="s">
        <v>26</v>
      </c>
      <c r="G373">
        <v>50</v>
      </c>
    </row>
    <row r="374" spans="1:7" x14ac:dyDescent="0.3">
      <c r="A374">
        <v>373</v>
      </c>
      <c r="B374">
        <v>240</v>
      </c>
      <c r="C374" s="1">
        <v>45677</v>
      </c>
      <c r="D374" t="s">
        <v>21</v>
      </c>
      <c r="E374" t="s">
        <v>19</v>
      </c>
      <c r="F374" t="s">
        <v>26</v>
      </c>
      <c r="G374">
        <v>5</v>
      </c>
    </row>
    <row r="375" spans="1:7" x14ac:dyDescent="0.3">
      <c r="A375">
        <v>374</v>
      </c>
      <c r="B375">
        <v>241</v>
      </c>
      <c r="C375" s="1">
        <v>45678</v>
      </c>
      <c r="D375" t="s">
        <v>15</v>
      </c>
      <c r="E375" t="s">
        <v>16</v>
      </c>
      <c r="F375" t="s">
        <v>27</v>
      </c>
      <c r="G375">
        <v>11</v>
      </c>
    </row>
    <row r="376" spans="1:7" x14ac:dyDescent="0.3">
      <c r="A376">
        <v>375</v>
      </c>
      <c r="B376">
        <v>242</v>
      </c>
      <c r="C376" s="1">
        <v>45678</v>
      </c>
      <c r="D376" t="s">
        <v>15</v>
      </c>
      <c r="E376" t="s">
        <v>17</v>
      </c>
      <c r="F376" t="s">
        <v>25</v>
      </c>
      <c r="G376">
        <v>98</v>
      </c>
    </row>
    <row r="377" spans="1:7" x14ac:dyDescent="0.3">
      <c r="A377">
        <v>376</v>
      </c>
      <c r="B377">
        <v>243</v>
      </c>
      <c r="C377" s="1">
        <v>45678</v>
      </c>
      <c r="D377" t="s">
        <v>15</v>
      </c>
      <c r="E377" t="s">
        <v>18</v>
      </c>
      <c r="F377" t="s">
        <v>30</v>
      </c>
      <c r="G377">
        <v>9</v>
      </c>
    </row>
    <row r="378" spans="1:7" x14ac:dyDescent="0.3">
      <c r="A378">
        <v>377</v>
      </c>
      <c r="B378">
        <v>243</v>
      </c>
      <c r="C378" s="1">
        <v>45678</v>
      </c>
      <c r="D378" t="s">
        <v>15</v>
      </c>
      <c r="E378" t="s">
        <v>18</v>
      </c>
      <c r="F378" t="s">
        <v>30</v>
      </c>
      <c r="G378">
        <v>19</v>
      </c>
    </row>
    <row r="379" spans="1:7" x14ac:dyDescent="0.3">
      <c r="A379">
        <v>378</v>
      </c>
      <c r="B379">
        <v>243</v>
      </c>
      <c r="C379" s="1">
        <v>45678</v>
      </c>
      <c r="D379" t="s">
        <v>15</v>
      </c>
      <c r="E379" t="s">
        <v>18</v>
      </c>
      <c r="F379" t="s">
        <v>30</v>
      </c>
      <c r="G379">
        <v>16</v>
      </c>
    </row>
    <row r="380" spans="1:7" x14ac:dyDescent="0.3">
      <c r="A380">
        <v>379</v>
      </c>
      <c r="B380">
        <v>243</v>
      </c>
      <c r="C380" s="1">
        <v>45678</v>
      </c>
      <c r="D380" t="s">
        <v>15</v>
      </c>
      <c r="E380" t="s">
        <v>18</v>
      </c>
      <c r="F380" t="s">
        <v>25</v>
      </c>
      <c r="G380">
        <v>35</v>
      </c>
    </row>
    <row r="381" spans="1:7" x14ac:dyDescent="0.3">
      <c r="A381">
        <v>380</v>
      </c>
      <c r="B381">
        <v>245</v>
      </c>
      <c r="C381" s="1">
        <v>45678</v>
      </c>
      <c r="D381" t="s">
        <v>20</v>
      </c>
      <c r="E381" t="s">
        <v>16</v>
      </c>
      <c r="F381" t="s">
        <v>27</v>
      </c>
      <c r="G381">
        <v>36</v>
      </c>
    </row>
    <row r="382" spans="1:7" x14ac:dyDescent="0.3">
      <c r="A382">
        <v>381</v>
      </c>
      <c r="B382">
        <v>245</v>
      </c>
      <c r="C382" s="1">
        <v>45678</v>
      </c>
      <c r="D382" t="s">
        <v>20</v>
      </c>
      <c r="E382" t="s">
        <v>16</v>
      </c>
      <c r="F382" t="s">
        <v>26</v>
      </c>
      <c r="G382">
        <v>23</v>
      </c>
    </row>
    <row r="383" spans="1:7" x14ac:dyDescent="0.3">
      <c r="A383">
        <v>382</v>
      </c>
      <c r="B383">
        <v>246</v>
      </c>
      <c r="C383" s="1">
        <v>45678</v>
      </c>
      <c r="D383" t="s">
        <v>20</v>
      </c>
      <c r="E383" t="s">
        <v>17</v>
      </c>
      <c r="F383" t="s">
        <v>26</v>
      </c>
      <c r="G383">
        <v>61</v>
      </c>
    </row>
    <row r="384" spans="1:7" x14ac:dyDescent="0.3">
      <c r="A384">
        <v>383</v>
      </c>
      <c r="B384">
        <v>248</v>
      </c>
      <c r="C384" s="1">
        <v>45678</v>
      </c>
      <c r="D384" t="s">
        <v>20</v>
      </c>
      <c r="E384" t="s">
        <v>19</v>
      </c>
      <c r="F384" t="s">
        <v>28</v>
      </c>
      <c r="G384">
        <v>6</v>
      </c>
    </row>
    <row r="385" spans="1:7" x14ac:dyDescent="0.3">
      <c r="A385">
        <v>384</v>
      </c>
      <c r="B385">
        <v>250</v>
      </c>
      <c r="C385" s="1">
        <v>45678</v>
      </c>
      <c r="D385" t="s">
        <v>21</v>
      </c>
      <c r="E385" t="s">
        <v>17</v>
      </c>
      <c r="F385" t="s">
        <v>27</v>
      </c>
      <c r="G385">
        <v>30</v>
      </c>
    </row>
    <row r="386" spans="1:7" x14ac:dyDescent="0.3">
      <c r="A386">
        <v>385</v>
      </c>
      <c r="B386">
        <v>251</v>
      </c>
      <c r="C386" s="1">
        <v>45678</v>
      </c>
      <c r="D386" t="s">
        <v>21</v>
      </c>
      <c r="E386" t="s">
        <v>18</v>
      </c>
      <c r="F386" t="s">
        <v>26</v>
      </c>
      <c r="G386">
        <v>6</v>
      </c>
    </row>
    <row r="387" spans="1:7" x14ac:dyDescent="0.3">
      <c r="A387">
        <v>386</v>
      </c>
      <c r="B387">
        <v>252</v>
      </c>
      <c r="C387" s="1">
        <v>45678</v>
      </c>
      <c r="D387" t="s">
        <v>21</v>
      </c>
      <c r="E387" t="s">
        <v>19</v>
      </c>
      <c r="F387" t="s">
        <v>25</v>
      </c>
      <c r="G387">
        <v>94</v>
      </c>
    </row>
    <row r="388" spans="1:7" x14ac:dyDescent="0.3">
      <c r="A388">
        <v>387</v>
      </c>
      <c r="B388">
        <v>253</v>
      </c>
      <c r="C388" s="1">
        <v>45679</v>
      </c>
      <c r="D388" t="s">
        <v>15</v>
      </c>
      <c r="E388" t="s">
        <v>16</v>
      </c>
      <c r="F388" t="s">
        <v>27</v>
      </c>
      <c r="G388">
        <v>10</v>
      </c>
    </row>
    <row r="389" spans="1:7" x14ac:dyDescent="0.3">
      <c r="A389">
        <v>388</v>
      </c>
      <c r="B389">
        <v>253</v>
      </c>
      <c r="C389" s="1">
        <v>45679</v>
      </c>
      <c r="D389" t="s">
        <v>15</v>
      </c>
      <c r="E389" t="s">
        <v>16</v>
      </c>
      <c r="F389" t="s">
        <v>26</v>
      </c>
      <c r="G389">
        <v>5</v>
      </c>
    </row>
    <row r="390" spans="1:7" x14ac:dyDescent="0.3">
      <c r="A390">
        <v>389</v>
      </c>
      <c r="B390">
        <v>253</v>
      </c>
      <c r="C390" s="1">
        <v>45679</v>
      </c>
      <c r="D390" t="s">
        <v>15</v>
      </c>
      <c r="E390" t="s">
        <v>16</v>
      </c>
      <c r="F390" t="s">
        <v>26</v>
      </c>
      <c r="G390">
        <v>13</v>
      </c>
    </row>
    <row r="391" spans="1:7" x14ac:dyDescent="0.3">
      <c r="A391">
        <v>390</v>
      </c>
      <c r="B391">
        <v>254</v>
      </c>
      <c r="C391" s="1">
        <v>45679</v>
      </c>
      <c r="D391" t="s">
        <v>15</v>
      </c>
      <c r="E391" t="s">
        <v>17</v>
      </c>
      <c r="F391" t="s">
        <v>25</v>
      </c>
      <c r="G391">
        <v>39</v>
      </c>
    </row>
    <row r="392" spans="1:7" x14ac:dyDescent="0.3">
      <c r="A392">
        <v>391</v>
      </c>
      <c r="B392">
        <v>254</v>
      </c>
      <c r="C392" s="1">
        <v>45679</v>
      </c>
      <c r="D392" t="s">
        <v>15</v>
      </c>
      <c r="E392" t="s">
        <v>17</v>
      </c>
      <c r="F392" t="s">
        <v>27</v>
      </c>
      <c r="G392">
        <v>16</v>
      </c>
    </row>
    <row r="393" spans="1:7" x14ac:dyDescent="0.3">
      <c r="A393">
        <v>392</v>
      </c>
      <c r="B393">
        <v>255</v>
      </c>
      <c r="C393" s="1">
        <v>45679</v>
      </c>
      <c r="D393" t="s">
        <v>15</v>
      </c>
      <c r="E393" t="s">
        <v>18</v>
      </c>
      <c r="F393" t="s">
        <v>30</v>
      </c>
      <c r="G393">
        <v>10</v>
      </c>
    </row>
    <row r="394" spans="1:7" x14ac:dyDescent="0.3">
      <c r="A394">
        <v>393</v>
      </c>
      <c r="B394">
        <v>256</v>
      </c>
      <c r="C394" s="1">
        <v>45679</v>
      </c>
      <c r="D394" t="s">
        <v>15</v>
      </c>
      <c r="E394" t="s">
        <v>19</v>
      </c>
      <c r="F394" t="s">
        <v>30</v>
      </c>
      <c r="G394">
        <v>10</v>
      </c>
    </row>
    <row r="395" spans="1:7" x14ac:dyDescent="0.3">
      <c r="A395">
        <v>394</v>
      </c>
      <c r="B395">
        <v>256</v>
      </c>
      <c r="C395" s="1">
        <v>45679</v>
      </c>
      <c r="D395" t="s">
        <v>15</v>
      </c>
      <c r="E395" t="s">
        <v>19</v>
      </c>
      <c r="F395" t="s">
        <v>27</v>
      </c>
      <c r="G395">
        <v>5</v>
      </c>
    </row>
    <row r="396" spans="1:7" x14ac:dyDescent="0.3">
      <c r="A396">
        <v>395</v>
      </c>
      <c r="B396">
        <v>258</v>
      </c>
      <c r="C396" s="1">
        <v>45679</v>
      </c>
      <c r="D396" t="s">
        <v>20</v>
      </c>
      <c r="E396" t="s">
        <v>17</v>
      </c>
      <c r="F396" t="s">
        <v>26</v>
      </c>
      <c r="G396">
        <v>46</v>
      </c>
    </row>
    <row r="397" spans="1:7" x14ac:dyDescent="0.3">
      <c r="A397">
        <v>396</v>
      </c>
      <c r="B397">
        <v>258</v>
      </c>
      <c r="C397" s="1">
        <v>45679</v>
      </c>
      <c r="D397" t="s">
        <v>20</v>
      </c>
      <c r="E397" t="s">
        <v>17</v>
      </c>
      <c r="F397" t="s">
        <v>25</v>
      </c>
      <c r="G397">
        <v>23</v>
      </c>
    </row>
    <row r="398" spans="1:7" x14ac:dyDescent="0.3">
      <c r="A398">
        <v>397</v>
      </c>
      <c r="B398">
        <v>258</v>
      </c>
      <c r="C398" s="1">
        <v>45679</v>
      </c>
      <c r="D398" t="s">
        <v>20</v>
      </c>
      <c r="E398" t="s">
        <v>17</v>
      </c>
      <c r="F398" t="s">
        <v>30</v>
      </c>
      <c r="G398">
        <v>7</v>
      </c>
    </row>
    <row r="399" spans="1:7" x14ac:dyDescent="0.3">
      <c r="A399">
        <v>398</v>
      </c>
      <c r="B399">
        <v>258</v>
      </c>
      <c r="C399" s="1">
        <v>45679</v>
      </c>
      <c r="D399" t="s">
        <v>20</v>
      </c>
      <c r="E399" t="s">
        <v>17</v>
      </c>
      <c r="F399" t="s">
        <v>27</v>
      </c>
      <c r="G399">
        <v>17</v>
      </c>
    </row>
    <row r="400" spans="1:7" x14ac:dyDescent="0.3">
      <c r="A400">
        <v>399</v>
      </c>
      <c r="B400">
        <v>259</v>
      </c>
      <c r="C400" s="1">
        <v>45679</v>
      </c>
      <c r="D400" t="s">
        <v>20</v>
      </c>
      <c r="E400" t="s">
        <v>18</v>
      </c>
      <c r="F400" t="s">
        <v>25</v>
      </c>
      <c r="G400">
        <v>80</v>
      </c>
    </row>
    <row r="401" spans="1:7" x14ac:dyDescent="0.3">
      <c r="A401">
        <v>400</v>
      </c>
      <c r="B401">
        <v>260</v>
      </c>
      <c r="C401" s="1">
        <v>45679</v>
      </c>
      <c r="D401" t="s">
        <v>20</v>
      </c>
      <c r="E401" t="s">
        <v>19</v>
      </c>
      <c r="F401" t="s">
        <v>27</v>
      </c>
      <c r="G401">
        <v>41</v>
      </c>
    </row>
    <row r="402" spans="1:7" x14ac:dyDescent="0.3">
      <c r="A402">
        <v>401</v>
      </c>
      <c r="B402">
        <v>260</v>
      </c>
      <c r="C402" s="1">
        <v>45679</v>
      </c>
      <c r="D402" t="s">
        <v>20</v>
      </c>
      <c r="E402" t="s">
        <v>19</v>
      </c>
      <c r="F402" t="s">
        <v>30</v>
      </c>
      <c r="G402">
        <v>5</v>
      </c>
    </row>
    <row r="403" spans="1:7" x14ac:dyDescent="0.3">
      <c r="A403">
        <v>402</v>
      </c>
      <c r="B403">
        <v>261</v>
      </c>
      <c r="C403" s="1">
        <v>45679</v>
      </c>
      <c r="D403" t="s">
        <v>21</v>
      </c>
      <c r="E403" t="s">
        <v>16</v>
      </c>
      <c r="F403" t="s">
        <v>25</v>
      </c>
      <c r="G403">
        <v>58</v>
      </c>
    </row>
    <row r="404" spans="1:7" x14ac:dyDescent="0.3">
      <c r="A404">
        <v>403</v>
      </c>
      <c r="B404">
        <v>262</v>
      </c>
      <c r="C404" s="1">
        <v>45679</v>
      </c>
      <c r="D404" t="s">
        <v>21</v>
      </c>
      <c r="E404" t="s">
        <v>17</v>
      </c>
      <c r="F404" t="s">
        <v>26</v>
      </c>
      <c r="G404">
        <v>5</v>
      </c>
    </row>
    <row r="405" spans="1:7" x14ac:dyDescent="0.3">
      <c r="A405">
        <v>404</v>
      </c>
      <c r="B405">
        <v>262</v>
      </c>
      <c r="C405" s="1">
        <v>45679</v>
      </c>
      <c r="D405" t="s">
        <v>21</v>
      </c>
      <c r="E405" t="s">
        <v>17</v>
      </c>
      <c r="F405" t="s">
        <v>30</v>
      </c>
      <c r="G405">
        <v>16</v>
      </c>
    </row>
    <row r="406" spans="1:7" x14ac:dyDescent="0.3">
      <c r="A406">
        <v>405</v>
      </c>
      <c r="B406">
        <v>264</v>
      </c>
      <c r="C406" s="1">
        <v>45679</v>
      </c>
      <c r="D406" t="s">
        <v>21</v>
      </c>
      <c r="E406" t="s">
        <v>19</v>
      </c>
      <c r="F406" t="s">
        <v>25</v>
      </c>
      <c r="G406">
        <v>64</v>
      </c>
    </row>
    <row r="407" spans="1:7" x14ac:dyDescent="0.3">
      <c r="A407">
        <v>406</v>
      </c>
      <c r="B407">
        <v>264</v>
      </c>
      <c r="C407" s="1">
        <v>45679</v>
      </c>
      <c r="D407" t="s">
        <v>21</v>
      </c>
      <c r="E407" t="s">
        <v>19</v>
      </c>
      <c r="F407" t="s">
        <v>27</v>
      </c>
      <c r="G407">
        <v>29</v>
      </c>
    </row>
    <row r="408" spans="1:7" x14ac:dyDescent="0.3">
      <c r="A408">
        <v>407</v>
      </c>
      <c r="B408">
        <v>267</v>
      </c>
      <c r="C408" s="1">
        <v>45680</v>
      </c>
      <c r="D408" t="s">
        <v>15</v>
      </c>
      <c r="E408" t="s">
        <v>18</v>
      </c>
      <c r="F408" t="s">
        <v>26</v>
      </c>
      <c r="G408">
        <v>99</v>
      </c>
    </row>
    <row r="409" spans="1:7" x14ac:dyDescent="0.3">
      <c r="A409">
        <v>408</v>
      </c>
      <c r="B409">
        <v>267</v>
      </c>
      <c r="C409" s="1">
        <v>45680</v>
      </c>
      <c r="D409" t="s">
        <v>15</v>
      </c>
      <c r="E409" t="s">
        <v>18</v>
      </c>
      <c r="F409" t="s">
        <v>27</v>
      </c>
      <c r="G409">
        <v>55</v>
      </c>
    </row>
    <row r="410" spans="1:7" x14ac:dyDescent="0.3">
      <c r="A410">
        <v>409</v>
      </c>
      <c r="B410">
        <v>268</v>
      </c>
      <c r="C410" s="1">
        <v>45680</v>
      </c>
      <c r="D410" t="s">
        <v>15</v>
      </c>
      <c r="E410" t="s">
        <v>19</v>
      </c>
      <c r="F410" t="s">
        <v>28</v>
      </c>
      <c r="G410">
        <v>17</v>
      </c>
    </row>
    <row r="411" spans="1:7" x14ac:dyDescent="0.3">
      <c r="A411">
        <v>410</v>
      </c>
      <c r="B411">
        <v>269</v>
      </c>
      <c r="C411" s="1">
        <v>45680</v>
      </c>
      <c r="D411" t="s">
        <v>20</v>
      </c>
      <c r="E411" t="s">
        <v>16</v>
      </c>
      <c r="F411" t="s">
        <v>25</v>
      </c>
      <c r="G411">
        <v>5</v>
      </c>
    </row>
    <row r="412" spans="1:7" x14ac:dyDescent="0.3">
      <c r="A412">
        <v>411</v>
      </c>
      <c r="B412">
        <v>269</v>
      </c>
      <c r="C412" s="1">
        <v>45680</v>
      </c>
      <c r="D412" t="s">
        <v>20</v>
      </c>
      <c r="E412" t="s">
        <v>16</v>
      </c>
      <c r="F412" t="s">
        <v>25</v>
      </c>
      <c r="G412">
        <v>11</v>
      </c>
    </row>
    <row r="413" spans="1:7" x14ac:dyDescent="0.3">
      <c r="A413">
        <v>412</v>
      </c>
      <c r="B413">
        <v>269</v>
      </c>
      <c r="C413" s="1">
        <v>45680</v>
      </c>
      <c r="D413" t="s">
        <v>20</v>
      </c>
      <c r="E413" t="s">
        <v>16</v>
      </c>
      <c r="F413" t="s">
        <v>25</v>
      </c>
      <c r="G413">
        <v>85</v>
      </c>
    </row>
    <row r="414" spans="1:7" x14ac:dyDescent="0.3">
      <c r="A414">
        <v>413</v>
      </c>
      <c r="B414">
        <v>274</v>
      </c>
      <c r="C414" s="1">
        <v>45680</v>
      </c>
      <c r="D414" t="s">
        <v>21</v>
      </c>
      <c r="E414" t="s">
        <v>17</v>
      </c>
      <c r="F414" t="s">
        <v>26</v>
      </c>
      <c r="G414">
        <v>23</v>
      </c>
    </row>
    <row r="415" spans="1:7" x14ac:dyDescent="0.3">
      <c r="A415">
        <v>414</v>
      </c>
      <c r="B415">
        <v>274</v>
      </c>
      <c r="C415" s="1">
        <v>45680</v>
      </c>
      <c r="D415" t="s">
        <v>21</v>
      </c>
      <c r="E415" t="s">
        <v>17</v>
      </c>
      <c r="F415" t="s">
        <v>25</v>
      </c>
      <c r="G415">
        <v>32</v>
      </c>
    </row>
    <row r="416" spans="1:7" x14ac:dyDescent="0.3">
      <c r="A416">
        <v>415</v>
      </c>
      <c r="B416">
        <v>276</v>
      </c>
      <c r="C416" s="1">
        <v>45680</v>
      </c>
      <c r="D416" t="s">
        <v>21</v>
      </c>
      <c r="E416" t="s">
        <v>19</v>
      </c>
      <c r="F416" t="s">
        <v>25</v>
      </c>
      <c r="G416">
        <v>63</v>
      </c>
    </row>
    <row r="417" spans="1:7" x14ac:dyDescent="0.3">
      <c r="A417">
        <v>416</v>
      </c>
      <c r="B417">
        <v>277</v>
      </c>
      <c r="C417" s="1">
        <v>45681</v>
      </c>
      <c r="D417" t="s">
        <v>15</v>
      </c>
      <c r="E417" t="s">
        <v>16</v>
      </c>
      <c r="F417" t="s">
        <v>27</v>
      </c>
      <c r="G417">
        <v>83</v>
      </c>
    </row>
    <row r="418" spans="1:7" x14ac:dyDescent="0.3">
      <c r="A418">
        <v>417</v>
      </c>
      <c r="B418">
        <v>277</v>
      </c>
      <c r="C418" s="1">
        <v>45681</v>
      </c>
      <c r="D418" t="s">
        <v>15</v>
      </c>
      <c r="E418" t="s">
        <v>16</v>
      </c>
      <c r="F418" t="s">
        <v>30</v>
      </c>
      <c r="G418">
        <v>5</v>
      </c>
    </row>
    <row r="419" spans="1:7" x14ac:dyDescent="0.3">
      <c r="A419">
        <v>418</v>
      </c>
      <c r="B419">
        <v>277</v>
      </c>
      <c r="C419" s="1">
        <v>45681</v>
      </c>
      <c r="D419" t="s">
        <v>15</v>
      </c>
      <c r="E419" t="s">
        <v>16</v>
      </c>
      <c r="F419" t="s">
        <v>25</v>
      </c>
      <c r="G419">
        <v>28</v>
      </c>
    </row>
    <row r="420" spans="1:7" x14ac:dyDescent="0.3">
      <c r="A420">
        <v>419</v>
      </c>
      <c r="B420">
        <v>278</v>
      </c>
      <c r="C420" s="1">
        <v>45681</v>
      </c>
      <c r="D420" t="s">
        <v>15</v>
      </c>
      <c r="E420" t="s">
        <v>17</v>
      </c>
      <c r="F420" t="s">
        <v>26</v>
      </c>
      <c r="G420">
        <v>51</v>
      </c>
    </row>
    <row r="421" spans="1:7" x14ac:dyDescent="0.3">
      <c r="A421">
        <v>420</v>
      </c>
      <c r="B421">
        <v>279</v>
      </c>
      <c r="C421" s="1">
        <v>45681</v>
      </c>
      <c r="D421" t="s">
        <v>15</v>
      </c>
      <c r="E421" t="s">
        <v>18</v>
      </c>
      <c r="F421" t="s">
        <v>27</v>
      </c>
      <c r="G421">
        <v>6</v>
      </c>
    </row>
    <row r="422" spans="1:7" x14ac:dyDescent="0.3">
      <c r="A422">
        <v>421</v>
      </c>
      <c r="B422">
        <v>280</v>
      </c>
      <c r="C422" s="1">
        <v>45681</v>
      </c>
      <c r="D422" t="s">
        <v>15</v>
      </c>
      <c r="E422" t="s">
        <v>19</v>
      </c>
      <c r="F422" t="s">
        <v>29</v>
      </c>
      <c r="G422">
        <v>19</v>
      </c>
    </row>
    <row r="423" spans="1:7" x14ac:dyDescent="0.3">
      <c r="A423">
        <v>422</v>
      </c>
      <c r="B423">
        <v>280</v>
      </c>
      <c r="C423" s="1">
        <v>45681</v>
      </c>
      <c r="D423" t="s">
        <v>15</v>
      </c>
      <c r="E423" t="s">
        <v>19</v>
      </c>
      <c r="F423" t="s">
        <v>25</v>
      </c>
      <c r="G423">
        <v>53</v>
      </c>
    </row>
    <row r="424" spans="1:7" x14ac:dyDescent="0.3">
      <c r="A424">
        <v>423</v>
      </c>
      <c r="B424">
        <v>281</v>
      </c>
      <c r="C424" s="1">
        <v>45681</v>
      </c>
      <c r="D424" t="s">
        <v>20</v>
      </c>
      <c r="E424" t="s">
        <v>16</v>
      </c>
      <c r="F424" t="s">
        <v>28</v>
      </c>
      <c r="G424">
        <v>9</v>
      </c>
    </row>
    <row r="425" spans="1:7" x14ac:dyDescent="0.3">
      <c r="A425">
        <v>424</v>
      </c>
      <c r="B425">
        <v>281</v>
      </c>
      <c r="C425" s="1">
        <v>45681</v>
      </c>
      <c r="D425" t="s">
        <v>20</v>
      </c>
      <c r="E425" t="s">
        <v>16</v>
      </c>
      <c r="F425" t="s">
        <v>25</v>
      </c>
      <c r="G425">
        <v>9</v>
      </c>
    </row>
    <row r="426" spans="1:7" x14ac:dyDescent="0.3">
      <c r="A426">
        <v>425</v>
      </c>
      <c r="B426">
        <v>284</v>
      </c>
      <c r="C426" s="1">
        <v>45681</v>
      </c>
      <c r="D426" t="s">
        <v>20</v>
      </c>
      <c r="E426" t="s">
        <v>19</v>
      </c>
      <c r="F426" t="s">
        <v>28</v>
      </c>
      <c r="G426">
        <v>66</v>
      </c>
    </row>
    <row r="427" spans="1:7" x14ac:dyDescent="0.3">
      <c r="A427">
        <v>426</v>
      </c>
      <c r="B427">
        <v>284</v>
      </c>
      <c r="C427" s="1">
        <v>45681</v>
      </c>
      <c r="D427" t="s">
        <v>20</v>
      </c>
      <c r="E427" t="s">
        <v>19</v>
      </c>
      <c r="F427" t="s">
        <v>26</v>
      </c>
      <c r="G427">
        <v>5</v>
      </c>
    </row>
    <row r="428" spans="1:7" x14ac:dyDescent="0.3">
      <c r="A428">
        <v>427</v>
      </c>
      <c r="B428">
        <v>286</v>
      </c>
      <c r="C428" s="1">
        <v>45681</v>
      </c>
      <c r="D428" t="s">
        <v>21</v>
      </c>
      <c r="E428" t="s">
        <v>17</v>
      </c>
      <c r="F428" t="s">
        <v>26</v>
      </c>
      <c r="G428">
        <v>6</v>
      </c>
    </row>
    <row r="429" spans="1:7" x14ac:dyDescent="0.3">
      <c r="A429">
        <v>428</v>
      </c>
      <c r="B429">
        <v>286</v>
      </c>
      <c r="C429" s="1">
        <v>45681</v>
      </c>
      <c r="D429" t="s">
        <v>21</v>
      </c>
      <c r="E429" t="s">
        <v>17</v>
      </c>
      <c r="F429" t="s">
        <v>29</v>
      </c>
      <c r="G429">
        <v>42</v>
      </c>
    </row>
    <row r="430" spans="1:7" x14ac:dyDescent="0.3">
      <c r="A430">
        <v>429</v>
      </c>
      <c r="B430">
        <v>286</v>
      </c>
      <c r="C430" s="1">
        <v>45681</v>
      </c>
      <c r="D430" t="s">
        <v>21</v>
      </c>
      <c r="E430" t="s">
        <v>17</v>
      </c>
      <c r="F430" t="s">
        <v>27</v>
      </c>
      <c r="G430">
        <v>24</v>
      </c>
    </row>
    <row r="431" spans="1:7" x14ac:dyDescent="0.3">
      <c r="A431">
        <v>430</v>
      </c>
      <c r="B431">
        <v>287</v>
      </c>
      <c r="C431" s="1">
        <v>45681</v>
      </c>
      <c r="D431" t="s">
        <v>21</v>
      </c>
      <c r="E431" t="s">
        <v>18</v>
      </c>
      <c r="F431" t="s">
        <v>27</v>
      </c>
      <c r="G431">
        <v>35</v>
      </c>
    </row>
    <row r="432" spans="1:7" x14ac:dyDescent="0.3">
      <c r="A432">
        <v>431</v>
      </c>
      <c r="B432">
        <v>287</v>
      </c>
      <c r="C432" s="1">
        <v>45681</v>
      </c>
      <c r="D432" t="s">
        <v>21</v>
      </c>
      <c r="E432" t="s">
        <v>18</v>
      </c>
      <c r="F432" t="s">
        <v>25</v>
      </c>
      <c r="G432">
        <v>8</v>
      </c>
    </row>
    <row r="433" spans="1:7" x14ac:dyDescent="0.3">
      <c r="A433">
        <v>432</v>
      </c>
      <c r="B433">
        <v>289</v>
      </c>
      <c r="C433" s="1">
        <v>45682</v>
      </c>
      <c r="D433" t="s">
        <v>15</v>
      </c>
      <c r="E433" t="s">
        <v>16</v>
      </c>
      <c r="F433" t="s">
        <v>26</v>
      </c>
      <c r="G433">
        <v>31</v>
      </c>
    </row>
    <row r="434" spans="1:7" x14ac:dyDescent="0.3">
      <c r="A434">
        <v>433</v>
      </c>
      <c r="B434">
        <v>290</v>
      </c>
      <c r="C434" s="1">
        <v>45682</v>
      </c>
      <c r="D434" t="s">
        <v>15</v>
      </c>
      <c r="E434" t="s">
        <v>17</v>
      </c>
      <c r="F434" t="s">
        <v>26</v>
      </c>
      <c r="G434">
        <v>11</v>
      </c>
    </row>
    <row r="435" spans="1:7" x14ac:dyDescent="0.3">
      <c r="A435">
        <v>434</v>
      </c>
      <c r="B435">
        <v>290</v>
      </c>
      <c r="C435" s="1">
        <v>45682</v>
      </c>
      <c r="D435" t="s">
        <v>15</v>
      </c>
      <c r="E435" t="s">
        <v>17</v>
      </c>
      <c r="F435" t="s">
        <v>26</v>
      </c>
      <c r="G435">
        <v>5</v>
      </c>
    </row>
    <row r="436" spans="1:7" x14ac:dyDescent="0.3">
      <c r="A436">
        <v>435</v>
      </c>
      <c r="B436">
        <v>290</v>
      </c>
      <c r="C436" s="1">
        <v>45682</v>
      </c>
      <c r="D436" t="s">
        <v>15</v>
      </c>
      <c r="E436" t="s">
        <v>17</v>
      </c>
      <c r="F436" t="s">
        <v>25</v>
      </c>
      <c r="G436">
        <v>87</v>
      </c>
    </row>
    <row r="437" spans="1:7" x14ac:dyDescent="0.3">
      <c r="A437">
        <v>436</v>
      </c>
      <c r="B437">
        <v>290</v>
      </c>
      <c r="C437" s="1">
        <v>45682</v>
      </c>
      <c r="D437" t="s">
        <v>15</v>
      </c>
      <c r="E437" t="s">
        <v>17</v>
      </c>
      <c r="F437" t="s">
        <v>25</v>
      </c>
      <c r="G437">
        <v>81</v>
      </c>
    </row>
    <row r="438" spans="1:7" x14ac:dyDescent="0.3">
      <c r="A438">
        <v>437</v>
      </c>
      <c r="B438">
        <v>291</v>
      </c>
      <c r="C438" s="1">
        <v>45682</v>
      </c>
      <c r="D438" t="s">
        <v>15</v>
      </c>
      <c r="E438" t="s">
        <v>18</v>
      </c>
      <c r="F438" t="s">
        <v>25</v>
      </c>
      <c r="G438">
        <v>5</v>
      </c>
    </row>
    <row r="439" spans="1:7" x14ac:dyDescent="0.3">
      <c r="A439">
        <v>438</v>
      </c>
      <c r="B439">
        <v>291</v>
      </c>
      <c r="C439" s="1">
        <v>45682</v>
      </c>
      <c r="D439" t="s">
        <v>15</v>
      </c>
      <c r="E439" t="s">
        <v>18</v>
      </c>
      <c r="F439" t="s">
        <v>25</v>
      </c>
      <c r="G439">
        <v>47</v>
      </c>
    </row>
    <row r="440" spans="1:7" x14ac:dyDescent="0.3">
      <c r="A440">
        <v>439</v>
      </c>
      <c r="B440">
        <v>292</v>
      </c>
      <c r="C440" s="1">
        <v>45682</v>
      </c>
      <c r="D440" t="s">
        <v>15</v>
      </c>
      <c r="E440" t="s">
        <v>19</v>
      </c>
      <c r="F440" t="s">
        <v>29</v>
      </c>
      <c r="G440">
        <v>27</v>
      </c>
    </row>
    <row r="441" spans="1:7" x14ac:dyDescent="0.3">
      <c r="A441">
        <v>440</v>
      </c>
      <c r="B441">
        <v>292</v>
      </c>
      <c r="C441" s="1">
        <v>45682</v>
      </c>
      <c r="D441" t="s">
        <v>15</v>
      </c>
      <c r="E441" t="s">
        <v>19</v>
      </c>
      <c r="F441" t="s">
        <v>27</v>
      </c>
      <c r="G441">
        <v>5</v>
      </c>
    </row>
    <row r="442" spans="1:7" x14ac:dyDescent="0.3">
      <c r="A442">
        <v>441</v>
      </c>
      <c r="B442">
        <v>292</v>
      </c>
      <c r="C442" s="1">
        <v>45682</v>
      </c>
      <c r="D442" t="s">
        <v>15</v>
      </c>
      <c r="E442" t="s">
        <v>19</v>
      </c>
      <c r="F442" t="s">
        <v>27</v>
      </c>
      <c r="G442">
        <v>12</v>
      </c>
    </row>
    <row r="443" spans="1:7" x14ac:dyDescent="0.3">
      <c r="A443">
        <v>442</v>
      </c>
      <c r="B443">
        <v>293</v>
      </c>
      <c r="C443" s="1">
        <v>45682</v>
      </c>
      <c r="D443" t="s">
        <v>20</v>
      </c>
      <c r="E443" t="s">
        <v>16</v>
      </c>
      <c r="F443" t="s">
        <v>27</v>
      </c>
      <c r="G443">
        <v>5</v>
      </c>
    </row>
    <row r="444" spans="1:7" x14ac:dyDescent="0.3">
      <c r="A444">
        <v>443</v>
      </c>
      <c r="B444">
        <v>293</v>
      </c>
      <c r="C444" s="1">
        <v>45682</v>
      </c>
      <c r="D444" t="s">
        <v>20</v>
      </c>
      <c r="E444" t="s">
        <v>16</v>
      </c>
      <c r="F444" t="s">
        <v>26</v>
      </c>
      <c r="G444">
        <v>75</v>
      </c>
    </row>
    <row r="445" spans="1:7" x14ac:dyDescent="0.3">
      <c r="A445">
        <v>444</v>
      </c>
      <c r="B445">
        <v>294</v>
      </c>
      <c r="C445" s="1">
        <v>45682</v>
      </c>
      <c r="D445" t="s">
        <v>20</v>
      </c>
      <c r="E445" t="s">
        <v>17</v>
      </c>
      <c r="F445" t="s">
        <v>30</v>
      </c>
      <c r="G445">
        <v>5</v>
      </c>
    </row>
    <row r="446" spans="1:7" x14ac:dyDescent="0.3">
      <c r="A446">
        <v>445</v>
      </c>
      <c r="B446">
        <v>294</v>
      </c>
      <c r="C446" s="1">
        <v>45682</v>
      </c>
      <c r="D446" t="s">
        <v>20</v>
      </c>
      <c r="E446" t="s">
        <v>17</v>
      </c>
      <c r="F446" t="s">
        <v>28</v>
      </c>
      <c r="G446">
        <v>77</v>
      </c>
    </row>
    <row r="447" spans="1:7" x14ac:dyDescent="0.3">
      <c r="A447">
        <v>446</v>
      </c>
      <c r="B447">
        <v>295</v>
      </c>
      <c r="C447" s="1">
        <v>45682</v>
      </c>
      <c r="D447" t="s">
        <v>20</v>
      </c>
      <c r="E447" t="s">
        <v>18</v>
      </c>
      <c r="F447" t="s">
        <v>26</v>
      </c>
      <c r="G447">
        <v>23</v>
      </c>
    </row>
    <row r="448" spans="1:7" x14ac:dyDescent="0.3">
      <c r="A448">
        <v>447</v>
      </c>
      <c r="B448">
        <v>295</v>
      </c>
      <c r="C448" s="1">
        <v>45682</v>
      </c>
      <c r="D448" t="s">
        <v>20</v>
      </c>
      <c r="E448" t="s">
        <v>18</v>
      </c>
      <c r="F448" t="s">
        <v>25</v>
      </c>
      <c r="G448">
        <v>12</v>
      </c>
    </row>
    <row r="449" spans="1:7" x14ac:dyDescent="0.3">
      <c r="A449">
        <v>448</v>
      </c>
      <c r="B449">
        <v>296</v>
      </c>
      <c r="C449" s="1">
        <v>45682</v>
      </c>
      <c r="D449" t="s">
        <v>20</v>
      </c>
      <c r="E449" t="s">
        <v>19</v>
      </c>
      <c r="F449" t="s">
        <v>25</v>
      </c>
      <c r="G449">
        <v>16</v>
      </c>
    </row>
    <row r="450" spans="1:7" x14ac:dyDescent="0.3">
      <c r="A450">
        <v>449</v>
      </c>
      <c r="B450">
        <v>297</v>
      </c>
      <c r="C450" s="1">
        <v>45682</v>
      </c>
      <c r="D450" t="s">
        <v>21</v>
      </c>
      <c r="E450" t="s">
        <v>16</v>
      </c>
      <c r="F450" t="s">
        <v>25</v>
      </c>
      <c r="G450">
        <v>12</v>
      </c>
    </row>
    <row r="451" spans="1:7" x14ac:dyDescent="0.3">
      <c r="A451">
        <v>450</v>
      </c>
      <c r="B451">
        <v>297</v>
      </c>
      <c r="C451" s="1">
        <v>45682</v>
      </c>
      <c r="D451" t="s">
        <v>21</v>
      </c>
      <c r="E451" t="s">
        <v>16</v>
      </c>
      <c r="F451" t="s">
        <v>30</v>
      </c>
      <c r="G451">
        <v>5</v>
      </c>
    </row>
    <row r="452" spans="1:7" x14ac:dyDescent="0.3">
      <c r="A452">
        <v>451</v>
      </c>
      <c r="B452">
        <v>297</v>
      </c>
      <c r="C452" s="1">
        <v>45682</v>
      </c>
      <c r="D452" t="s">
        <v>21</v>
      </c>
      <c r="E452" t="s">
        <v>16</v>
      </c>
      <c r="F452" t="s">
        <v>27</v>
      </c>
      <c r="G452">
        <v>107</v>
      </c>
    </row>
    <row r="453" spans="1:7" x14ac:dyDescent="0.3">
      <c r="A453">
        <v>452</v>
      </c>
      <c r="B453">
        <v>297</v>
      </c>
      <c r="C453" s="1">
        <v>45682</v>
      </c>
      <c r="D453" t="s">
        <v>21</v>
      </c>
      <c r="E453" t="s">
        <v>16</v>
      </c>
      <c r="F453" t="s">
        <v>29</v>
      </c>
      <c r="G453">
        <v>18</v>
      </c>
    </row>
    <row r="454" spans="1:7" x14ac:dyDescent="0.3">
      <c r="A454">
        <v>453</v>
      </c>
      <c r="B454">
        <v>297</v>
      </c>
      <c r="C454" s="1">
        <v>45682</v>
      </c>
      <c r="D454" t="s">
        <v>21</v>
      </c>
      <c r="E454" t="s">
        <v>16</v>
      </c>
      <c r="F454" t="s">
        <v>25</v>
      </c>
      <c r="G454">
        <v>80</v>
      </c>
    </row>
    <row r="455" spans="1:7" x14ac:dyDescent="0.3">
      <c r="A455">
        <v>454</v>
      </c>
      <c r="B455">
        <v>299</v>
      </c>
      <c r="C455" s="1">
        <v>45682</v>
      </c>
      <c r="D455" t="s">
        <v>21</v>
      </c>
      <c r="E455" t="s">
        <v>18</v>
      </c>
      <c r="F455" t="s">
        <v>27</v>
      </c>
      <c r="G455">
        <v>7</v>
      </c>
    </row>
    <row r="456" spans="1:7" x14ac:dyDescent="0.3">
      <c r="A456">
        <v>455</v>
      </c>
      <c r="B456">
        <v>299</v>
      </c>
      <c r="C456" s="1">
        <v>45682</v>
      </c>
      <c r="D456" t="s">
        <v>21</v>
      </c>
      <c r="E456" t="s">
        <v>18</v>
      </c>
      <c r="F456" t="s">
        <v>27</v>
      </c>
      <c r="G456">
        <v>29</v>
      </c>
    </row>
    <row r="457" spans="1:7" x14ac:dyDescent="0.3">
      <c r="A457">
        <v>456</v>
      </c>
      <c r="B457">
        <v>299</v>
      </c>
      <c r="C457" s="1">
        <v>45682</v>
      </c>
      <c r="D457" t="s">
        <v>21</v>
      </c>
      <c r="E457" t="s">
        <v>18</v>
      </c>
      <c r="F457" t="s">
        <v>26</v>
      </c>
      <c r="G457">
        <v>66</v>
      </c>
    </row>
    <row r="458" spans="1:7" x14ac:dyDescent="0.3">
      <c r="A458">
        <v>457</v>
      </c>
      <c r="B458">
        <v>300</v>
      </c>
      <c r="C458" s="1">
        <v>45682</v>
      </c>
      <c r="D458" t="s">
        <v>21</v>
      </c>
      <c r="E458" t="s">
        <v>19</v>
      </c>
      <c r="F458" t="s">
        <v>27</v>
      </c>
      <c r="G458">
        <v>5</v>
      </c>
    </row>
    <row r="459" spans="1:7" x14ac:dyDescent="0.3">
      <c r="A459">
        <v>458</v>
      </c>
      <c r="B459">
        <v>300</v>
      </c>
      <c r="C459" s="1">
        <v>45682</v>
      </c>
      <c r="D459" t="s">
        <v>21</v>
      </c>
      <c r="E459" t="s">
        <v>19</v>
      </c>
      <c r="F459" t="s">
        <v>27</v>
      </c>
      <c r="G459">
        <v>13</v>
      </c>
    </row>
    <row r="460" spans="1:7" x14ac:dyDescent="0.3">
      <c r="A460">
        <v>459</v>
      </c>
      <c r="B460">
        <v>300</v>
      </c>
      <c r="C460" s="1">
        <v>45682</v>
      </c>
      <c r="D460" t="s">
        <v>21</v>
      </c>
      <c r="E460" t="s">
        <v>19</v>
      </c>
      <c r="F460" t="s">
        <v>26</v>
      </c>
      <c r="G460">
        <v>90</v>
      </c>
    </row>
    <row r="461" spans="1:7" x14ac:dyDescent="0.3">
      <c r="A461">
        <v>460</v>
      </c>
      <c r="B461">
        <v>301</v>
      </c>
      <c r="C461" s="1">
        <v>45683</v>
      </c>
      <c r="D461" t="s">
        <v>15</v>
      </c>
      <c r="E461" t="s">
        <v>16</v>
      </c>
      <c r="F461" t="s">
        <v>25</v>
      </c>
      <c r="G461">
        <v>20</v>
      </c>
    </row>
    <row r="462" spans="1:7" x14ac:dyDescent="0.3">
      <c r="A462">
        <v>461</v>
      </c>
      <c r="B462">
        <v>301</v>
      </c>
      <c r="C462" s="1">
        <v>45683</v>
      </c>
      <c r="D462" t="s">
        <v>15</v>
      </c>
      <c r="E462" t="s">
        <v>16</v>
      </c>
      <c r="F462" t="s">
        <v>27</v>
      </c>
      <c r="G462">
        <v>5</v>
      </c>
    </row>
    <row r="463" spans="1:7" x14ac:dyDescent="0.3">
      <c r="A463">
        <v>462</v>
      </c>
      <c r="B463">
        <v>302</v>
      </c>
      <c r="C463" s="1">
        <v>45683</v>
      </c>
      <c r="D463" t="s">
        <v>15</v>
      </c>
      <c r="E463" t="s">
        <v>17</v>
      </c>
      <c r="F463" t="s">
        <v>25</v>
      </c>
      <c r="G463">
        <v>42</v>
      </c>
    </row>
    <row r="464" spans="1:7" x14ac:dyDescent="0.3">
      <c r="A464">
        <v>463</v>
      </c>
      <c r="B464">
        <v>302</v>
      </c>
      <c r="C464" s="1">
        <v>45683</v>
      </c>
      <c r="D464" t="s">
        <v>15</v>
      </c>
      <c r="E464" t="s">
        <v>17</v>
      </c>
      <c r="F464" t="s">
        <v>25</v>
      </c>
      <c r="G464">
        <v>10</v>
      </c>
    </row>
    <row r="465" spans="1:7" x14ac:dyDescent="0.3">
      <c r="A465">
        <v>464</v>
      </c>
      <c r="B465">
        <v>305</v>
      </c>
      <c r="C465" s="1">
        <v>45683</v>
      </c>
      <c r="D465" t="s">
        <v>20</v>
      </c>
      <c r="E465" t="s">
        <v>16</v>
      </c>
      <c r="F465" t="s">
        <v>28</v>
      </c>
      <c r="G465">
        <v>30</v>
      </c>
    </row>
    <row r="466" spans="1:7" x14ac:dyDescent="0.3">
      <c r="A466">
        <v>465</v>
      </c>
      <c r="B466">
        <v>305</v>
      </c>
      <c r="C466" s="1">
        <v>45683</v>
      </c>
      <c r="D466" t="s">
        <v>20</v>
      </c>
      <c r="E466" t="s">
        <v>16</v>
      </c>
      <c r="F466" t="s">
        <v>25</v>
      </c>
      <c r="G466">
        <v>43</v>
      </c>
    </row>
    <row r="467" spans="1:7" x14ac:dyDescent="0.3">
      <c r="A467">
        <v>466</v>
      </c>
      <c r="B467">
        <v>306</v>
      </c>
      <c r="C467" s="1">
        <v>45683</v>
      </c>
      <c r="D467" t="s">
        <v>20</v>
      </c>
      <c r="E467" t="s">
        <v>17</v>
      </c>
      <c r="F467" t="s">
        <v>26</v>
      </c>
      <c r="G467">
        <v>148</v>
      </c>
    </row>
    <row r="468" spans="1:7" x14ac:dyDescent="0.3">
      <c r="A468">
        <v>467</v>
      </c>
      <c r="B468">
        <v>306</v>
      </c>
      <c r="C468" s="1">
        <v>45683</v>
      </c>
      <c r="D468" t="s">
        <v>20</v>
      </c>
      <c r="E468" t="s">
        <v>17</v>
      </c>
      <c r="F468" t="s">
        <v>25</v>
      </c>
      <c r="G468">
        <v>14</v>
      </c>
    </row>
    <row r="469" spans="1:7" x14ac:dyDescent="0.3">
      <c r="A469">
        <v>468</v>
      </c>
      <c r="B469">
        <v>307</v>
      </c>
      <c r="C469" s="1">
        <v>45683</v>
      </c>
      <c r="D469" t="s">
        <v>20</v>
      </c>
      <c r="E469" t="s">
        <v>18</v>
      </c>
      <c r="F469" t="s">
        <v>25</v>
      </c>
      <c r="G469">
        <v>78</v>
      </c>
    </row>
    <row r="470" spans="1:7" x14ac:dyDescent="0.3">
      <c r="A470">
        <v>469</v>
      </c>
      <c r="B470">
        <v>307</v>
      </c>
      <c r="C470" s="1">
        <v>45683</v>
      </c>
      <c r="D470" t="s">
        <v>20</v>
      </c>
      <c r="E470" t="s">
        <v>18</v>
      </c>
      <c r="F470" t="s">
        <v>28</v>
      </c>
      <c r="G470">
        <v>103</v>
      </c>
    </row>
    <row r="471" spans="1:7" x14ac:dyDescent="0.3">
      <c r="A471">
        <v>470</v>
      </c>
      <c r="B471">
        <v>307</v>
      </c>
      <c r="C471" s="1">
        <v>45683</v>
      </c>
      <c r="D471" t="s">
        <v>20</v>
      </c>
      <c r="E471" t="s">
        <v>18</v>
      </c>
      <c r="F471" t="s">
        <v>25</v>
      </c>
      <c r="G471">
        <v>45</v>
      </c>
    </row>
    <row r="472" spans="1:7" x14ac:dyDescent="0.3">
      <c r="A472">
        <v>471</v>
      </c>
      <c r="B472">
        <v>310</v>
      </c>
      <c r="C472" s="1">
        <v>45683</v>
      </c>
      <c r="D472" t="s">
        <v>21</v>
      </c>
      <c r="E472" t="s">
        <v>17</v>
      </c>
      <c r="F472" t="s">
        <v>27</v>
      </c>
      <c r="G472">
        <v>27</v>
      </c>
    </row>
    <row r="473" spans="1:7" x14ac:dyDescent="0.3">
      <c r="A473">
        <v>472</v>
      </c>
      <c r="B473">
        <v>311</v>
      </c>
      <c r="C473" s="1">
        <v>45683</v>
      </c>
      <c r="D473" t="s">
        <v>21</v>
      </c>
      <c r="E473" t="s">
        <v>18</v>
      </c>
      <c r="F473" t="s">
        <v>27</v>
      </c>
      <c r="G473">
        <v>18</v>
      </c>
    </row>
    <row r="474" spans="1:7" x14ac:dyDescent="0.3">
      <c r="A474">
        <v>473</v>
      </c>
      <c r="B474">
        <v>311</v>
      </c>
      <c r="C474" s="1">
        <v>45683</v>
      </c>
      <c r="D474" t="s">
        <v>21</v>
      </c>
      <c r="E474" t="s">
        <v>18</v>
      </c>
      <c r="F474" t="s">
        <v>25</v>
      </c>
      <c r="G474">
        <v>45</v>
      </c>
    </row>
    <row r="475" spans="1:7" x14ac:dyDescent="0.3">
      <c r="A475">
        <v>474</v>
      </c>
      <c r="B475">
        <v>311</v>
      </c>
      <c r="C475" s="1">
        <v>45683</v>
      </c>
      <c r="D475" t="s">
        <v>21</v>
      </c>
      <c r="E475" t="s">
        <v>18</v>
      </c>
      <c r="F475" t="s">
        <v>29</v>
      </c>
      <c r="G475">
        <v>23</v>
      </c>
    </row>
    <row r="476" spans="1:7" x14ac:dyDescent="0.3">
      <c r="A476">
        <v>475</v>
      </c>
      <c r="B476">
        <v>313</v>
      </c>
      <c r="C476" s="1">
        <v>45684</v>
      </c>
      <c r="D476" t="s">
        <v>15</v>
      </c>
      <c r="E476" t="s">
        <v>16</v>
      </c>
      <c r="F476" t="s">
        <v>25</v>
      </c>
      <c r="G476">
        <v>24</v>
      </c>
    </row>
    <row r="477" spans="1:7" x14ac:dyDescent="0.3">
      <c r="A477">
        <v>476</v>
      </c>
      <c r="B477">
        <v>314</v>
      </c>
      <c r="C477" s="1">
        <v>45684</v>
      </c>
      <c r="D477" t="s">
        <v>15</v>
      </c>
      <c r="E477" t="s">
        <v>17</v>
      </c>
      <c r="F477" t="s">
        <v>25</v>
      </c>
      <c r="G477">
        <v>36</v>
      </c>
    </row>
    <row r="478" spans="1:7" x14ac:dyDescent="0.3">
      <c r="A478">
        <v>477</v>
      </c>
      <c r="B478">
        <v>315</v>
      </c>
      <c r="C478" s="1">
        <v>45684</v>
      </c>
      <c r="D478" t="s">
        <v>15</v>
      </c>
      <c r="E478" t="s">
        <v>18</v>
      </c>
      <c r="F478" t="s">
        <v>26</v>
      </c>
      <c r="G478">
        <v>9</v>
      </c>
    </row>
    <row r="479" spans="1:7" x14ac:dyDescent="0.3">
      <c r="A479">
        <v>478</v>
      </c>
      <c r="B479">
        <v>315</v>
      </c>
      <c r="C479" s="1">
        <v>45684</v>
      </c>
      <c r="D479" t="s">
        <v>15</v>
      </c>
      <c r="E479" t="s">
        <v>18</v>
      </c>
      <c r="F479" t="s">
        <v>25</v>
      </c>
      <c r="G479">
        <v>70</v>
      </c>
    </row>
    <row r="480" spans="1:7" x14ac:dyDescent="0.3">
      <c r="A480">
        <v>479</v>
      </c>
      <c r="B480">
        <v>315</v>
      </c>
      <c r="C480" s="1">
        <v>45684</v>
      </c>
      <c r="D480" t="s">
        <v>15</v>
      </c>
      <c r="E480" t="s">
        <v>18</v>
      </c>
      <c r="F480" t="s">
        <v>27</v>
      </c>
      <c r="G480">
        <v>32</v>
      </c>
    </row>
    <row r="481" spans="1:7" x14ac:dyDescent="0.3">
      <c r="A481">
        <v>480</v>
      </c>
      <c r="B481">
        <v>316</v>
      </c>
      <c r="C481" s="1">
        <v>45684</v>
      </c>
      <c r="D481" t="s">
        <v>15</v>
      </c>
      <c r="E481" t="s">
        <v>19</v>
      </c>
      <c r="F481" t="s">
        <v>27</v>
      </c>
      <c r="G481">
        <v>9</v>
      </c>
    </row>
    <row r="482" spans="1:7" x14ac:dyDescent="0.3">
      <c r="A482">
        <v>481</v>
      </c>
      <c r="B482">
        <v>316</v>
      </c>
      <c r="C482" s="1">
        <v>45684</v>
      </c>
      <c r="D482" t="s">
        <v>15</v>
      </c>
      <c r="E482" t="s">
        <v>19</v>
      </c>
      <c r="F482" t="s">
        <v>26</v>
      </c>
      <c r="G482">
        <v>36</v>
      </c>
    </row>
    <row r="483" spans="1:7" x14ac:dyDescent="0.3">
      <c r="A483">
        <v>482</v>
      </c>
      <c r="B483">
        <v>318</v>
      </c>
      <c r="C483" s="1">
        <v>45684</v>
      </c>
      <c r="D483" t="s">
        <v>20</v>
      </c>
      <c r="E483" t="s">
        <v>17</v>
      </c>
      <c r="F483" t="s">
        <v>25</v>
      </c>
      <c r="G483">
        <v>46</v>
      </c>
    </row>
    <row r="484" spans="1:7" x14ac:dyDescent="0.3">
      <c r="A484">
        <v>483</v>
      </c>
      <c r="B484">
        <v>318</v>
      </c>
      <c r="C484" s="1">
        <v>45684</v>
      </c>
      <c r="D484" t="s">
        <v>20</v>
      </c>
      <c r="E484" t="s">
        <v>17</v>
      </c>
      <c r="F484" t="s">
        <v>26</v>
      </c>
      <c r="G484">
        <v>12</v>
      </c>
    </row>
    <row r="485" spans="1:7" x14ac:dyDescent="0.3">
      <c r="A485">
        <v>484</v>
      </c>
      <c r="B485">
        <v>319</v>
      </c>
      <c r="C485" s="1">
        <v>45684</v>
      </c>
      <c r="D485" t="s">
        <v>20</v>
      </c>
      <c r="E485" t="s">
        <v>18</v>
      </c>
      <c r="F485" t="s">
        <v>26</v>
      </c>
      <c r="G485">
        <v>13</v>
      </c>
    </row>
    <row r="486" spans="1:7" x14ac:dyDescent="0.3">
      <c r="A486">
        <v>485</v>
      </c>
      <c r="B486">
        <v>320</v>
      </c>
      <c r="C486" s="1">
        <v>45684</v>
      </c>
      <c r="D486" t="s">
        <v>20</v>
      </c>
      <c r="E486" t="s">
        <v>19</v>
      </c>
      <c r="F486" t="s">
        <v>27</v>
      </c>
      <c r="G486">
        <v>5</v>
      </c>
    </row>
    <row r="487" spans="1:7" x14ac:dyDescent="0.3">
      <c r="A487">
        <v>486</v>
      </c>
      <c r="B487">
        <v>320</v>
      </c>
      <c r="C487" s="1">
        <v>45684</v>
      </c>
      <c r="D487" t="s">
        <v>20</v>
      </c>
      <c r="E487" t="s">
        <v>19</v>
      </c>
      <c r="F487" t="s">
        <v>27</v>
      </c>
      <c r="G487">
        <v>66</v>
      </c>
    </row>
    <row r="488" spans="1:7" x14ac:dyDescent="0.3">
      <c r="A488">
        <v>487</v>
      </c>
      <c r="B488">
        <v>323</v>
      </c>
      <c r="C488" s="1">
        <v>45684</v>
      </c>
      <c r="D488" t="s">
        <v>21</v>
      </c>
      <c r="E488" t="s">
        <v>18</v>
      </c>
      <c r="F488" t="s">
        <v>28</v>
      </c>
      <c r="G488">
        <v>22</v>
      </c>
    </row>
    <row r="489" spans="1:7" x14ac:dyDescent="0.3">
      <c r="A489">
        <v>488</v>
      </c>
      <c r="B489">
        <v>323</v>
      </c>
      <c r="C489" s="1">
        <v>45684</v>
      </c>
      <c r="D489" t="s">
        <v>21</v>
      </c>
      <c r="E489" t="s">
        <v>18</v>
      </c>
      <c r="F489" t="s">
        <v>29</v>
      </c>
      <c r="G489">
        <v>23</v>
      </c>
    </row>
    <row r="490" spans="1:7" x14ac:dyDescent="0.3">
      <c r="A490">
        <v>489</v>
      </c>
      <c r="B490">
        <v>324</v>
      </c>
      <c r="C490" s="1">
        <v>45684</v>
      </c>
      <c r="D490" t="s">
        <v>21</v>
      </c>
      <c r="E490" t="s">
        <v>19</v>
      </c>
      <c r="F490" t="s">
        <v>27</v>
      </c>
      <c r="G490">
        <v>8</v>
      </c>
    </row>
    <row r="491" spans="1:7" x14ac:dyDescent="0.3">
      <c r="A491">
        <v>490</v>
      </c>
      <c r="B491">
        <v>324</v>
      </c>
      <c r="C491" s="1">
        <v>45684</v>
      </c>
      <c r="D491" t="s">
        <v>21</v>
      </c>
      <c r="E491" t="s">
        <v>19</v>
      </c>
      <c r="F491" t="s">
        <v>27</v>
      </c>
      <c r="G491">
        <v>5</v>
      </c>
    </row>
    <row r="492" spans="1:7" x14ac:dyDescent="0.3">
      <c r="A492">
        <v>491</v>
      </c>
      <c r="B492">
        <v>325</v>
      </c>
      <c r="C492" s="1">
        <v>45685</v>
      </c>
      <c r="D492" t="s">
        <v>15</v>
      </c>
      <c r="E492" t="s">
        <v>16</v>
      </c>
      <c r="F492" t="s">
        <v>25</v>
      </c>
      <c r="G492">
        <v>9</v>
      </c>
    </row>
    <row r="493" spans="1:7" x14ac:dyDescent="0.3">
      <c r="A493">
        <v>492</v>
      </c>
      <c r="B493">
        <v>325</v>
      </c>
      <c r="C493" s="1">
        <v>45685</v>
      </c>
      <c r="D493" t="s">
        <v>15</v>
      </c>
      <c r="E493" t="s">
        <v>16</v>
      </c>
      <c r="F493" t="s">
        <v>25</v>
      </c>
      <c r="G493">
        <v>18</v>
      </c>
    </row>
    <row r="494" spans="1:7" x14ac:dyDescent="0.3">
      <c r="A494">
        <v>493</v>
      </c>
      <c r="B494">
        <v>325</v>
      </c>
      <c r="C494" s="1">
        <v>45685</v>
      </c>
      <c r="D494" t="s">
        <v>15</v>
      </c>
      <c r="E494" t="s">
        <v>16</v>
      </c>
      <c r="F494" t="s">
        <v>25</v>
      </c>
      <c r="G494">
        <v>152</v>
      </c>
    </row>
    <row r="495" spans="1:7" x14ac:dyDescent="0.3">
      <c r="A495">
        <v>494</v>
      </c>
      <c r="B495">
        <v>326</v>
      </c>
      <c r="C495" s="1">
        <v>45685</v>
      </c>
      <c r="D495" t="s">
        <v>15</v>
      </c>
      <c r="E495" t="s">
        <v>17</v>
      </c>
      <c r="F495" t="s">
        <v>27</v>
      </c>
      <c r="G495">
        <v>19</v>
      </c>
    </row>
    <row r="496" spans="1:7" x14ac:dyDescent="0.3">
      <c r="A496">
        <v>495</v>
      </c>
      <c r="B496">
        <v>327</v>
      </c>
      <c r="C496" s="1">
        <v>45685</v>
      </c>
      <c r="D496" t="s">
        <v>15</v>
      </c>
      <c r="E496" t="s">
        <v>18</v>
      </c>
      <c r="F496" t="s">
        <v>25</v>
      </c>
      <c r="G496">
        <v>22</v>
      </c>
    </row>
    <row r="497" spans="1:7" x14ac:dyDescent="0.3">
      <c r="A497">
        <v>496</v>
      </c>
      <c r="B497">
        <v>327</v>
      </c>
      <c r="C497" s="1">
        <v>45685</v>
      </c>
      <c r="D497" t="s">
        <v>15</v>
      </c>
      <c r="E497" t="s">
        <v>18</v>
      </c>
      <c r="F497" t="s">
        <v>25</v>
      </c>
      <c r="G497">
        <v>29</v>
      </c>
    </row>
    <row r="498" spans="1:7" x14ac:dyDescent="0.3">
      <c r="A498">
        <v>497</v>
      </c>
      <c r="B498">
        <v>327</v>
      </c>
      <c r="C498" s="1">
        <v>45685</v>
      </c>
      <c r="D498" t="s">
        <v>15</v>
      </c>
      <c r="E498" t="s">
        <v>18</v>
      </c>
      <c r="F498" t="s">
        <v>27</v>
      </c>
      <c r="G498">
        <v>5</v>
      </c>
    </row>
    <row r="499" spans="1:7" x14ac:dyDescent="0.3">
      <c r="A499">
        <v>498</v>
      </c>
      <c r="B499">
        <v>327</v>
      </c>
      <c r="C499" s="1">
        <v>45685</v>
      </c>
      <c r="D499" t="s">
        <v>15</v>
      </c>
      <c r="E499" t="s">
        <v>18</v>
      </c>
      <c r="F499" t="s">
        <v>28</v>
      </c>
      <c r="G499">
        <v>144</v>
      </c>
    </row>
    <row r="500" spans="1:7" x14ac:dyDescent="0.3">
      <c r="A500">
        <v>499</v>
      </c>
      <c r="B500">
        <v>328</v>
      </c>
      <c r="C500" s="1">
        <v>45685</v>
      </c>
      <c r="D500" t="s">
        <v>15</v>
      </c>
      <c r="E500" t="s">
        <v>19</v>
      </c>
      <c r="F500" t="s">
        <v>30</v>
      </c>
      <c r="G500">
        <v>5</v>
      </c>
    </row>
    <row r="501" spans="1:7" x14ac:dyDescent="0.3">
      <c r="A501">
        <v>500</v>
      </c>
      <c r="B501">
        <v>329</v>
      </c>
      <c r="C501" s="1">
        <v>45685</v>
      </c>
      <c r="D501" t="s">
        <v>20</v>
      </c>
      <c r="E501" t="s">
        <v>16</v>
      </c>
      <c r="F501" t="s">
        <v>27</v>
      </c>
      <c r="G501">
        <v>79</v>
      </c>
    </row>
    <row r="502" spans="1:7" x14ac:dyDescent="0.3">
      <c r="A502">
        <v>501</v>
      </c>
      <c r="B502">
        <v>329</v>
      </c>
      <c r="C502" s="1">
        <v>45685</v>
      </c>
      <c r="D502" t="s">
        <v>20</v>
      </c>
      <c r="E502" t="s">
        <v>16</v>
      </c>
      <c r="F502" t="s">
        <v>27</v>
      </c>
      <c r="G502">
        <v>39</v>
      </c>
    </row>
    <row r="503" spans="1:7" x14ac:dyDescent="0.3">
      <c r="A503">
        <v>502</v>
      </c>
      <c r="B503">
        <v>330</v>
      </c>
      <c r="C503" s="1">
        <v>45685</v>
      </c>
      <c r="D503" t="s">
        <v>20</v>
      </c>
      <c r="E503" t="s">
        <v>17</v>
      </c>
      <c r="F503" t="s">
        <v>30</v>
      </c>
      <c r="G503">
        <v>7</v>
      </c>
    </row>
    <row r="504" spans="1:7" x14ac:dyDescent="0.3">
      <c r="A504">
        <v>503</v>
      </c>
      <c r="B504">
        <v>331</v>
      </c>
      <c r="C504" s="1">
        <v>45685</v>
      </c>
      <c r="D504" t="s">
        <v>20</v>
      </c>
      <c r="E504" t="s">
        <v>18</v>
      </c>
      <c r="F504" t="s">
        <v>30</v>
      </c>
      <c r="G504">
        <v>21</v>
      </c>
    </row>
    <row r="505" spans="1:7" x14ac:dyDescent="0.3">
      <c r="A505">
        <v>504</v>
      </c>
      <c r="B505">
        <v>331</v>
      </c>
      <c r="C505" s="1">
        <v>45685</v>
      </c>
      <c r="D505" t="s">
        <v>20</v>
      </c>
      <c r="E505" t="s">
        <v>18</v>
      </c>
      <c r="F505" t="s">
        <v>27</v>
      </c>
      <c r="G505">
        <v>62</v>
      </c>
    </row>
    <row r="506" spans="1:7" x14ac:dyDescent="0.3">
      <c r="A506">
        <v>505</v>
      </c>
      <c r="B506">
        <v>331</v>
      </c>
      <c r="C506" s="1">
        <v>45685</v>
      </c>
      <c r="D506" t="s">
        <v>20</v>
      </c>
      <c r="E506" t="s">
        <v>18</v>
      </c>
      <c r="F506" t="s">
        <v>25</v>
      </c>
      <c r="G506">
        <v>5</v>
      </c>
    </row>
    <row r="507" spans="1:7" x14ac:dyDescent="0.3">
      <c r="A507">
        <v>506</v>
      </c>
      <c r="B507">
        <v>332</v>
      </c>
      <c r="C507" s="1">
        <v>45685</v>
      </c>
      <c r="D507" t="s">
        <v>20</v>
      </c>
      <c r="E507" t="s">
        <v>19</v>
      </c>
      <c r="F507" t="s">
        <v>29</v>
      </c>
      <c r="G507">
        <v>14</v>
      </c>
    </row>
    <row r="508" spans="1:7" x14ac:dyDescent="0.3">
      <c r="A508">
        <v>507</v>
      </c>
      <c r="B508">
        <v>332</v>
      </c>
      <c r="C508" s="1">
        <v>45685</v>
      </c>
      <c r="D508" t="s">
        <v>20</v>
      </c>
      <c r="E508" t="s">
        <v>19</v>
      </c>
      <c r="F508" t="s">
        <v>27</v>
      </c>
      <c r="G508">
        <v>19</v>
      </c>
    </row>
    <row r="509" spans="1:7" x14ac:dyDescent="0.3">
      <c r="A509">
        <v>508</v>
      </c>
      <c r="B509">
        <v>333</v>
      </c>
      <c r="C509" s="1">
        <v>45685</v>
      </c>
      <c r="D509" t="s">
        <v>21</v>
      </c>
      <c r="E509" t="s">
        <v>16</v>
      </c>
      <c r="F509" t="s">
        <v>25</v>
      </c>
      <c r="G509">
        <v>16</v>
      </c>
    </row>
    <row r="510" spans="1:7" x14ac:dyDescent="0.3">
      <c r="A510">
        <v>509</v>
      </c>
      <c r="B510">
        <v>333</v>
      </c>
      <c r="C510" s="1">
        <v>45685</v>
      </c>
      <c r="D510" t="s">
        <v>21</v>
      </c>
      <c r="E510" t="s">
        <v>16</v>
      </c>
      <c r="F510" t="s">
        <v>27</v>
      </c>
      <c r="G510">
        <v>32</v>
      </c>
    </row>
    <row r="511" spans="1:7" x14ac:dyDescent="0.3">
      <c r="A511">
        <v>510</v>
      </c>
      <c r="B511">
        <v>333</v>
      </c>
      <c r="C511" s="1">
        <v>45685</v>
      </c>
      <c r="D511" t="s">
        <v>21</v>
      </c>
      <c r="E511" t="s">
        <v>16</v>
      </c>
      <c r="F511" t="s">
        <v>25</v>
      </c>
      <c r="G511">
        <v>10</v>
      </c>
    </row>
    <row r="512" spans="1:7" x14ac:dyDescent="0.3">
      <c r="A512">
        <v>511</v>
      </c>
      <c r="B512">
        <v>334</v>
      </c>
      <c r="C512" s="1">
        <v>45685</v>
      </c>
      <c r="D512" t="s">
        <v>21</v>
      </c>
      <c r="E512" t="s">
        <v>17</v>
      </c>
      <c r="F512" t="s">
        <v>25</v>
      </c>
      <c r="G512">
        <v>60</v>
      </c>
    </row>
    <row r="513" spans="1:7" x14ac:dyDescent="0.3">
      <c r="A513">
        <v>512</v>
      </c>
      <c r="B513">
        <v>334</v>
      </c>
      <c r="C513" s="1">
        <v>45685</v>
      </c>
      <c r="D513" t="s">
        <v>21</v>
      </c>
      <c r="E513" t="s">
        <v>17</v>
      </c>
      <c r="F513" t="s">
        <v>30</v>
      </c>
      <c r="G513">
        <v>20</v>
      </c>
    </row>
    <row r="514" spans="1:7" x14ac:dyDescent="0.3">
      <c r="A514">
        <v>513</v>
      </c>
      <c r="B514">
        <v>334</v>
      </c>
      <c r="C514" s="1">
        <v>45685</v>
      </c>
      <c r="D514" t="s">
        <v>21</v>
      </c>
      <c r="E514" t="s">
        <v>17</v>
      </c>
      <c r="F514" t="s">
        <v>25</v>
      </c>
      <c r="G514">
        <v>63</v>
      </c>
    </row>
    <row r="515" spans="1:7" x14ac:dyDescent="0.3">
      <c r="A515">
        <v>514</v>
      </c>
      <c r="B515">
        <v>335</v>
      </c>
      <c r="C515" s="1">
        <v>45685</v>
      </c>
      <c r="D515" t="s">
        <v>21</v>
      </c>
      <c r="E515" t="s">
        <v>18</v>
      </c>
      <c r="F515" t="s">
        <v>27</v>
      </c>
      <c r="G515">
        <v>5</v>
      </c>
    </row>
    <row r="516" spans="1:7" x14ac:dyDescent="0.3">
      <c r="A516">
        <v>515</v>
      </c>
      <c r="B516">
        <v>335</v>
      </c>
      <c r="C516" s="1">
        <v>45685</v>
      </c>
      <c r="D516" t="s">
        <v>21</v>
      </c>
      <c r="E516" t="s">
        <v>18</v>
      </c>
      <c r="F516" t="s">
        <v>27</v>
      </c>
      <c r="G516">
        <v>10</v>
      </c>
    </row>
    <row r="517" spans="1:7" x14ac:dyDescent="0.3">
      <c r="A517">
        <v>516</v>
      </c>
      <c r="B517">
        <v>335</v>
      </c>
      <c r="C517" s="1">
        <v>45685</v>
      </c>
      <c r="D517" t="s">
        <v>21</v>
      </c>
      <c r="E517" t="s">
        <v>18</v>
      </c>
      <c r="F517" t="s">
        <v>25</v>
      </c>
      <c r="G517">
        <v>19</v>
      </c>
    </row>
    <row r="518" spans="1:7" x14ac:dyDescent="0.3">
      <c r="A518">
        <v>517</v>
      </c>
      <c r="B518">
        <v>336</v>
      </c>
      <c r="C518" s="1">
        <v>45685</v>
      </c>
      <c r="D518" t="s">
        <v>21</v>
      </c>
      <c r="E518" t="s">
        <v>19</v>
      </c>
      <c r="F518" t="s">
        <v>28</v>
      </c>
      <c r="G518">
        <v>44</v>
      </c>
    </row>
    <row r="519" spans="1:7" x14ac:dyDescent="0.3">
      <c r="A519">
        <v>518</v>
      </c>
      <c r="B519">
        <v>337</v>
      </c>
      <c r="C519" s="1">
        <v>45686</v>
      </c>
      <c r="D519" t="s">
        <v>15</v>
      </c>
      <c r="E519" t="s">
        <v>16</v>
      </c>
      <c r="F519" t="s">
        <v>25</v>
      </c>
      <c r="G519">
        <v>23</v>
      </c>
    </row>
    <row r="520" spans="1:7" x14ac:dyDescent="0.3">
      <c r="A520">
        <v>519</v>
      </c>
      <c r="B520">
        <v>337</v>
      </c>
      <c r="C520" s="1">
        <v>45686</v>
      </c>
      <c r="D520" t="s">
        <v>15</v>
      </c>
      <c r="E520" t="s">
        <v>16</v>
      </c>
      <c r="F520" t="s">
        <v>25</v>
      </c>
      <c r="G520">
        <v>11</v>
      </c>
    </row>
    <row r="521" spans="1:7" x14ac:dyDescent="0.3">
      <c r="A521">
        <v>520</v>
      </c>
      <c r="B521">
        <v>337</v>
      </c>
      <c r="C521" s="1">
        <v>45686</v>
      </c>
      <c r="D521" t="s">
        <v>15</v>
      </c>
      <c r="E521" t="s">
        <v>16</v>
      </c>
      <c r="F521" t="s">
        <v>25</v>
      </c>
      <c r="G521">
        <v>73</v>
      </c>
    </row>
    <row r="522" spans="1:7" x14ac:dyDescent="0.3">
      <c r="A522">
        <v>521</v>
      </c>
      <c r="B522">
        <v>338</v>
      </c>
      <c r="C522" s="1">
        <v>45686</v>
      </c>
      <c r="D522" t="s">
        <v>15</v>
      </c>
      <c r="E522" t="s">
        <v>17</v>
      </c>
      <c r="F522" t="s">
        <v>25</v>
      </c>
      <c r="G522">
        <v>46</v>
      </c>
    </row>
    <row r="523" spans="1:7" x14ac:dyDescent="0.3">
      <c r="A523">
        <v>522</v>
      </c>
      <c r="B523">
        <v>338</v>
      </c>
      <c r="C523" s="1">
        <v>45686</v>
      </c>
      <c r="D523" t="s">
        <v>15</v>
      </c>
      <c r="E523" t="s">
        <v>17</v>
      </c>
      <c r="F523" t="s">
        <v>28</v>
      </c>
      <c r="G523">
        <v>55</v>
      </c>
    </row>
    <row r="524" spans="1:7" x14ac:dyDescent="0.3">
      <c r="A524">
        <v>523</v>
      </c>
      <c r="B524">
        <v>340</v>
      </c>
      <c r="C524" s="1">
        <v>45686</v>
      </c>
      <c r="D524" t="s">
        <v>15</v>
      </c>
      <c r="E524" t="s">
        <v>19</v>
      </c>
      <c r="F524" t="s">
        <v>25</v>
      </c>
      <c r="G524">
        <v>51</v>
      </c>
    </row>
    <row r="525" spans="1:7" x14ac:dyDescent="0.3">
      <c r="A525">
        <v>524</v>
      </c>
      <c r="B525">
        <v>340</v>
      </c>
      <c r="C525" s="1">
        <v>45686</v>
      </c>
      <c r="D525" t="s">
        <v>15</v>
      </c>
      <c r="E525" t="s">
        <v>19</v>
      </c>
      <c r="F525" t="s">
        <v>25</v>
      </c>
      <c r="G525">
        <v>56</v>
      </c>
    </row>
    <row r="526" spans="1:7" x14ac:dyDescent="0.3">
      <c r="A526">
        <v>525</v>
      </c>
      <c r="B526">
        <v>341</v>
      </c>
      <c r="C526" s="1">
        <v>45686</v>
      </c>
      <c r="D526" t="s">
        <v>20</v>
      </c>
      <c r="E526" t="s">
        <v>16</v>
      </c>
      <c r="F526" t="s">
        <v>30</v>
      </c>
      <c r="G526">
        <v>5</v>
      </c>
    </row>
    <row r="527" spans="1:7" x14ac:dyDescent="0.3">
      <c r="A527">
        <v>526</v>
      </c>
      <c r="B527">
        <v>341</v>
      </c>
      <c r="C527" s="1">
        <v>45686</v>
      </c>
      <c r="D527" t="s">
        <v>20</v>
      </c>
      <c r="E527" t="s">
        <v>16</v>
      </c>
      <c r="F527" t="s">
        <v>27</v>
      </c>
      <c r="G527">
        <v>6</v>
      </c>
    </row>
    <row r="528" spans="1:7" x14ac:dyDescent="0.3">
      <c r="A528">
        <v>527</v>
      </c>
      <c r="B528">
        <v>344</v>
      </c>
      <c r="C528" s="1">
        <v>45686</v>
      </c>
      <c r="D528" t="s">
        <v>20</v>
      </c>
      <c r="E528" t="s">
        <v>19</v>
      </c>
      <c r="F528" t="s">
        <v>25</v>
      </c>
      <c r="G528">
        <v>82</v>
      </c>
    </row>
    <row r="529" spans="1:7" x14ac:dyDescent="0.3">
      <c r="A529">
        <v>528</v>
      </c>
      <c r="B529">
        <v>345</v>
      </c>
      <c r="C529" s="1">
        <v>45686</v>
      </c>
      <c r="D529" t="s">
        <v>21</v>
      </c>
      <c r="E529" t="s">
        <v>16</v>
      </c>
      <c r="F529" t="s">
        <v>27</v>
      </c>
      <c r="G529">
        <v>6</v>
      </c>
    </row>
    <row r="530" spans="1:7" x14ac:dyDescent="0.3">
      <c r="A530">
        <v>529</v>
      </c>
      <c r="B530">
        <v>345</v>
      </c>
      <c r="C530" s="1">
        <v>45686</v>
      </c>
      <c r="D530" t="s">
        <v>21</v>
      </c>
      <c r="E530" t="s">
        <v>16</v>
      </c>
      <c r="F530" t="s">
        <v>30</v>
      </c>
      <c r="G530">
        <v>5</v>
      </c>
    </row>
    <row r="531" spans="1:7" x14ac:dyDescent="0.3">
      <c r="A531">
        <v>530</v>
      </c>
      <c r="B531">
        <v>346</v>
      </c>
      <c r="C531" s="1">
        <v>45686</v>
      </c>
      <c r="D531" t="s">
        <v>21</v>
      </c>
      <c r="E531" t="s">
        <v>17</v>
      </c>
      <c r="F531" t="s">
        <v>28</v>
      </c>
      <c r="G531">
        <v>5</v>
      </c>
    </row>
    <row r="532" spans="1:7" x14ac:dyDescent="0.3">
      <c r="A532">
        <v>531</v>
      </c>
      <c r="B532">
        <v>346</v>
      </c>
      <c r="C532" s="1">
        <v>45686</v>
      </c>
      <c r="D532" t="s">
        <v>21</v>
      </c>
      <c r="E532" t="s">
        <v>17</v>
      </c>
      <c r="F532" t="s">
        <v>26</v>
      </c>
      <c r="G532">
        <v>20</v>
      </c>
    </row>
    <row r="533" spans="1:7" x14ac:dyDescent="0.3">
      <c r="A533">
        <v>532</v>
      </c>
      <c r="B533">
        <v>347</v>
      </c>
      <c r="C533" s="1">
        <v>45686</v>
      </c>
      <c r="D533" t="s">
        <v>21</v>
      </c>
      <c r="E533" t="s">
        <v>18</v>
      </c>
      <c r="F533" t="s">
        <v>25</v>
      </c>
      <c r="G533">
        <v>56</v>
      </c>
    </row>
    <row r="534" spans="1:7" x14ac:dyDescent="0.3">
      <c r="A534">
        <v>533</v>
      </c>
      <c r="B534">
        <v>348</v>
      </c>
      <c r="C534" s="1">
        <v>45686</v>
      </c>
      <c r="D534" t="s">
        <v>21</v>
      </c>
      <c r="E534" t="s">
        <v>19</v>
      </c>
      <c r="F534" t="s">
        <v>25</v>
      </c>
      <c r="G534">
        <v>68</v>
      </c>
    </row>
    <row r="535" spans="1:7" x14ac:dyDescent="0.3">
      <c r="A535">
        <v>534</v>
      </c>
      <c r="B535">
        <v>348</v>
      </c>
      <c r="C535" s="1">
        <v>45686</v>
      </c>
      <c r="D535" t="s">
        <v>21</v>
      </c>
      <c r="E535" t="s">
        <v>19</v>
      </c>
      <c r="F535" t="s">
        <v>26</v>
      </c>
      <c r="G535">
        <v>5</v>
      </c>
    </row>
    <row r="536" spans="1:7" x14ac:dyDescent="0.3">
      <c r="A536">
        <v>535</v>
      </c>
      <c r="B536">
        <v>348</v>
      </c>
      <c r="C536" s="1">
        <v>45686</v>
      </c>
      <c r="D536" t="s">
        <v>21</v>
      </c>
      <c r="E536" t="s">
        <v>19</v>
      </c>
      <c r="F536" t="s">
        <v>27</v>
      </c>
      <c r="G536">
        <v>62</v>
      </c>
    </row>
    <row r="537" spans="1:7" x14ac:dyDescent="0.3">
      <c r="A537">
        <v>536</v>
      </c>
      <c r="B537">
        <v>349</v>
      </c>
      <c r="C537" s="1">
        <v>45687</v>
      </c>
      <c r="D537" t="s">
        <v>15</v>
      </c>
      <c r="E537" t="s">
        <v>16</v>
      </c>
      <c r="F537" t="s">
        <v>27</v>
      </c>
      <c r="G537">
        <v>9</v>
      </c>
    </row>
    <row r="538" spans="1:7" x14ac:dyDescent="0.3">
      <c r="A538">
        <v>537</v>
      </c>
      <c r="B538">
        <v>350</v>
      </c>
      <c r="C538" s="1">
        <v>45687</v>
      </c>
      <c r="D538" t="s">
        <v>15</v>
      </c>
      <c r="E538" t="s">
        <v>17</v>
      </c>
      <c r="F538" t="s">
        <v>26</v>
      </c>
      <c r="G538">
        <v>19</v>
      </c>
    </row>
    <row r="539" spans="1:7" x14ac:dyDescent="0.3">
      <c r="A539">
        <v>538</v>
      </c>
      <c r="B539">
        <v>350</v>
      </c>
      <c r="C539" s="1">
        <v>45687</v>
      </c>
      <c r="D539" t="s">
        <v>15</v>
      </c>
      <c r="E539" t="s">
        <v>17</v>
      </c>
      <c r="F539" t="s">
        <v>29</v>
      </c>
      <c r="G539">
        <v>6</v>
      </c>
    </row>
    <row r="540" spans="1:7" x14ac:dyDescent="0.3">
      <c r="A540">
        <v>539</v>
      </c>
      <c r="B540">
        <v>350</v>
      </c>
      <c r="C540" s="1">
        <v>45687</v>
      </c>
      <c r="D540" t="s">
        <v>15</v>
      </c>
      <c r="E540" t="s">
        <v>17</v>
      </c>
      <c r="F540" t="s">
        <v>26</v>
      </c>
      <c r="G540">
        <v>28</v>
      </c>
    </row>
    <row r="541" spans="1:7" x14ac:dyDescent="0.3">
      <c r="A541">
        <v>540</v>
      </c>
      <c r="B541">
        <v>351</v>
      </c>
      <c r="C541" s="1">
        <v>45687</v>
      </c>
      <c r="D541" t="s">
        <v>15</v>
      </c>
      <c r="E541" t="s">
        <v>18</v>
      </c>
      <c r="F541" t="s">
        <v>26</v>
      </c>
      <c r="G541">
        <v>15</v>
      </c>
    </row>
    <row r="542" spans="1:7" x14ac:dyDescent="0.3">
      <c r="A542">
        <v>541</v>
      </c>
      <c r="B542">
        <v>351</v>
      </c>
      <c r="C542" s="1">
        <v>45687</v>
      </c>
      <c r="D542" t="s">
        <v>15</v>
      </c>
      <c r="E542" t="s">
        <v>18</v>
      </c>
      <c r="F542" t="s">
        <v>26</v>
      </c>
      <c r="G542">
        <v>6</v>
      </c>
    </row>
    <row r="543" spans="1:7" x14ac:dyDescent="0.3">
      <c r="A543">
        <v>542</v>
      </c>
      <c r="B543">
        <v>352</v>
      </c>
      <c r="C543" s="1">
        <v>45687</v>
      </c>
      <c r="D543" t="s">
        <v>15</v>
      </c>
      <c r="E543" t="s">
        <v>19</v>
      </c>
      <c r="F543" t="s">
        <v>25</v>
      </c>
      <c r="G543">
        <v>32</v>
      </c>
    </row>
    <row r="544" spans="1:7" x14ac:dyDescent="0.3">
      <c r="A544">
        <v>543</v>
      </c>
      <c r="B544">
        <v>355</v>
      </c>
      <c r="C544" s="1">
        <v>45687</v>
      </c>
      <c r="D544" t="s">
        <v>20</v>
      </c>
      <c r="E544" t="s">
        <v>18</v>
      </c>
      <c r="F544" t="s">
        <v>27</v>
      </c>
      <c r="G544">
        <v>18</v>
      </c>
    </row>
    <row r="545" spans="1:7" x14ac:dyDescent="0.3">
      <c r="A545">
        <v>544</v>
      </c>
      <c r="B545">
        <v>356</v>
      </c>
      <c r="C545" s="1">
        <v>45687</v>
      </c>
      <c r="D545" t="s">
        <v>20</v>
      </c>
      <c r="E545" t="s">
        <v>19</v>
      </c>
      <c r="F545" t="s">
        <v>30</v>
      </c>
      <c r="G545">
        <v>22</v>
      </c>
    </row>
    <row r="546" spans="1:7" x14ac:dyDescent="0.3">
      <c r="A546">
        <v>545</v>
      </c>
      <c r="B546">
        <v>356</v>
      </c>
      <c r="C546" s="1">
        <v>45687</v>
      </c>
      <c r="D546" t="s">
        <v>20</v>
      </c>
      <c r="E546" t="s">
        <v>19</v>
      </c>
      <c r="F546" t="s">
        <v>27</v>
      </c>
      <c r="G546">
        <v>74</v>
      </c>
    </row>
    <row r="547" spans="1:7" x14ac:dyDescent="0.3">
      <c r="A547">
        <v>546</v>
      </c>
      <c r="B547">
        <v>356</v>
      </c>
      <c r="C547" s="1">
        <v>45687</v>
      </c>
      <c r="D547" t="s">
        <v>20</v>
      </c>
      <c r="E547" t="s">
        <v>19</v>
      </c>
      <c r="F547" t="s">
        <v>25</v>
      </c>
      <c r="G547">
        <v>5</v>
      </c>
    </row>
    <row r="548" spans="1:7" x14ac:dyDescent="0.3">
      <c r="A548">
        <v>547</v>
      </c>
      <c r="B548">
        <v>358</v>
      </c>
      <c r="C548" s="1">
        <v>45687</v>
      </c>
      <c r="D548" t="s">
        <v>21</v>
      </c>
      <c r="E548" t="s">
        <v>17</v>
      </c>
      <c r="F548" t="s">
        <v>25</v>
      </c>
      <c r="G548">
        <v>20</v>
      </c>
    </row>
    <row r="549" spans="1:7" x14ac:dyDescent="0.3">
      <c r="A549">
        <v>548</v>
      </c>
      <c r="B549">
        <v>358</v>
      </c>
      <c r="C549" s="1">
        <v>45687</v>
      </c>
      <c r="D549" t="s">
        <v>21</v>
      </c>
      <c r="E549" t="s">
        <v>17</v>
      </c>
      <c r="F549" t="s">
        <v>25</v>
      </c>
      <c r="G549">
        <v>16</v>
      </c>
    </row>
    <row r="550" spans="1:7" x14ac:dyDescent="0.3">
      <c r="A550">
        <v>549</v>
      </c>
      <c r="B550">
        <v>359</v>
      </c>
      <c r="C550" s="1">
        <v>45687</v>
      </c>
      <c r="D550" t="s">
        <v>21</v>
      </c>
      <c r="E550" t="s">
        <v>18</v>
      </c>
      <c r="F550" t="s">
        <v>29</v>
      </c>
      <c r="G550">
        <v>38</v>
      </c>
    </row>
    <row r="551" spans="1:7" x14ac:dyDescent="0.3">
      <c r="A551">
        <v>550</v>
      </c>
      <c r="B551">
        <v>360</v>
      </c>
      <c r="C551" s="1">
        <v>45687</v>
      </c>
      <c r="D551" t="s">
        <v>21</v>
      </c>
      <c r="E551" t="s">
        <v>19</v>
      </c>
      <c r="F551" t="s">
        <v>25</v>
      </c>
      <c r="G551">
        <v>11</v>
      </c>
    </row>
    <row r="552" spans="1:7" x14ac:dyDescent="0.3">
      <c r="A552">
        <v>551</v>
      </c>
      <c r="B552">
        <v>361</v>
      </c>
      <c r="C552" s="1">
        <v>45688</v>
      </c>
      <c r="D552" t="s">
        <v>15</v>
      </c>
      <c r="E552" t="s">
        <v>16</v>
      </c>
      <c r="F552" t="s">
        <v>28</v>
      </c>
      <c r="G552">
        <v>171</v>
      </c>
    </row>
    <row r="553" spans="1:7" x14ac:dyDescent="0.3">
      <c r="A553">
        <v>552</v>
      </c>
      <c r="B553">
        <v>361</v>
      </c>
      <c r="C553" s="1">
        <v>45688</v>
      </c>
      <c r="D553" t="s">
        <v>15</v>
      </c>
      <c r="E553" t="s">
        <v>16</v>
      </c>
      <c r="F553" t="s">
        <v>30</v>
      </c>
      <c r="G553">
        <v>71</v>
      </c>
    </row>
    <row r="554" spans="1:7" x14ac:dyDescent="0.3">
      <c r="A554">
        <v>553</v>
      </c>
      <c r="B554">
        <v>364</v>
      </c>
      <c r="C554" s="1">
        <v>45688</v>
      </c>
      <c r="D554" t="s">
        <v>15</v>
      </c>
      <c r="E554" t="s">
        <v>19</v>
      </c>
      <c r="F554" t="s">
        <v>30</v>
      </c>
      <c r="G554">
        <v>15</v>
      </c>
    </row>
    <row r="555" spans="1:7" x14ac:dyDescent="0.3">
      <c r="A555">
        <v>554</v>
      </c>
      <c r="B555">
        <v>364</v>
      </c>
      <c r="C555" s="1">
        <v>45688</v>
      </c>
      <c r="D555" t="s">
        <v>15</v>
      </c>
      <c r="E555" t="s">
        <v>19</v>
      </c>
      <c r="F555" t="s">
        <v>27</v>
      </c>
      <c r="G555">
        <v>22</v>
      </c>
    </row>
    <row r="556" spans="1:7" x14ac:dyDescent="0.3">
      <c r="A556">
        <v>555</v>
      </c>
      <c r="B556">
        <v>365</v>
      </c>
      <c r="C556" s="1">
        <v>45688</v>
      </c>
      <c r="D556" t="s">
        <v>20</v>
      </c>
      <c r="E556" t="s">
        <v>16</v>
      </c>
      <c r="F556" t="s">
        <v>29</v>
      </c>
      <c r="G556">
        <v>30</v>
      </c>
    </row>
    <row r="557" spans="1:7" x14ac:dyDescent="0.3">
      <c r="A557">
        <v>556</v>
      </c>
      <c r="B557">
        <v>365</v>
      </c>
      <c r="C557" s="1">
        <v>45688</v>
      </c>
      <c r="D557" t="s">
        <v>20</v>
      </c>
      <c r="E557" t="s">
        <v>16</v>
      </c>
      <c r="F557" t="s">
        <v>25</v>
      </c>
      <c r="G557">
        <v>7</v>
      </c>
    </row>
    <row r="558" spans="1:7" x14ac:dyDescent="0.3">
      <c r="A558">
        <v>557</v>
      </c>
      <c r="B558">
        <v>366</v>
      </c>
      <c r="C558" s="1">
        <v>45688</v>
      </c>
      <c r="D558" t="s">
        <v>20</v>
      </c>
      <c r="E558" t="s">
        <v>17</v>
      </c>
      <c r="F558" t="s">
        <v>28</v>
      </c>
      <c r="G558">
        <v>45</v>
      </c>
    </row>
    <row r="559" spans="1:7" x14ac:dyDescent="0.3">
      <c r="A559">
        <v>558</v>
      </c>
      <c r="B559">
        <v>367</v>
      </c>
      <c r="C559" s="1">
        <v>45688</v>
      </c>
      <c r="D559" t="s">
        <v>20</v>
      </c>
      <c r="E559" t="s">
        <v>18</v>
      </c>
      <c r="F559" t="s">
        <v>25</v>
      </c>
      <c r="G559">
        <v>74</v>
      </c>
    </row>
    <row r="560" spans="1:7" x14ac:dyDescent="0.3">
      <c r="A560">
        <v>559</v>
      </c>
      <c r="B560">
        <v>368</v>
      </c>
      <c r="C560" s="1">
        <v>45688</v>
      </c>
      <c r="D560" t="s">
        <v>20</v>
      </c>
      <c r="E560" t="s">
        <v>19</v>
      </c>
      <c r="F560" t="s">
        <v>25</v>
      </c>
      <c r="G560">
        <v>26</v>
      </c>
    </row>
    <row r="561" spans="1:7" x14ac:dyDescent="0.3">
      <c r="A561">
        <v>560</v>
      </c>
      <c r="B561">
        <v>369</v>
      </c>
      <c r="C561" s="1">
        <v>45688</v>
      </c>
      <c r="D561" t="s">
        <v>21</v>
      </c>
      <c r="E561" t="s">
        <v>16</v>
      </c>
      <c r="F561" t="s">
        <v>28</v>
      </c>
      <c r="G561">
        <v>13</v>
      </c>
    </row>
    <row r="562" spans="1:7" x14ac:dyDescent="0.3">
      <c r="A562">
        <v>561</v>
      </c>
      <c r="B562">
        <v>369</v>
      </c>
      <c r="C562" s="1">
        <v>45688</v>
      </c>
      <c r="D562" t="s">
        <v>21</v>
      </c>
      <c r="E562" t="s">
        <v>16</v>
      </c>
      <c r="F562" t="s">
        <v>28</v>
      </c>
      <c r="G562">
        <v>315</v>
      </c>
    </row>
    <row r="563" spans="1:7" x14ac:dyDescent="0.3">
      <c r="A563">
        <v>562</v>
      </c>
      <c r="B563">
        <v>369</v>
      </c>
      <c r="C563" s="1">
        <v>45688</v>
      </c>
      <c r="D563" t="s">
        <v>21</v>
      </c>
      <c r="E563" t="s">
        <v>16</v>
      </c>
      <c r="F563" t="s">
        <v>26</v>
      </c>
      <c r="G563">
        <v>119</v>
      </c>
    </row>
    <row r="564" spans="1:7" x14ac:dyDescent="0.3">
      <c r="A564">
        <v>563</v>
      </c>
      <c r="B564">
        <v>369</v>
      </c>
      <c r="C564" s="1">
        <v>45688</v>
      </c>
      <c r="D564" t="s">
        <v>21</v>
      </c>
      <c r="E564" t="s">
        <v>16</v>
      </c>
      <c r="F564" t="s">
        <v>27</v>
      </c>
      <c r="G564">
        <v>6</v>
      </c>
    </row>
    <row r="565" spans="1:7" x14ac:dyDescent="0.3">
      <c r="A565">
        <v>564</v>
      </c>
      <c r="B565">
        <v>372</v>
      </c>
      <c r="C565" s="1">
        <v>45688</v>
      </c>
      <c r="D565" t="s">
        <v>21</v>
      </c>
      <c r="E565" t="s">
        <v>19</v>
      </c>
      <c r="F565" t="s">
        <v>27</v>
      </c>
      <c r="G565">
        <v>25</v>
      </c>
    </row>
    <row r="566" spans="1:7" x14ac:dyDescent="0.3">
      <c r="A566">
        <v>565</v>
      </c>
      <c r="B566">
        <v>372</v>
      </c>
      <c r="C566" s="1">
        <v>45688</v>
      </c>
      <c r="D566" t="s">
        <v>21</v>
      </c>
      <c r="E566" t="s">
        <v>19</v>
      </c>
      <c r="F566" t="s">
        <v>25</v>
      </c>
      <c r="G566">
        <v>46</v>
      </c>
    </row>
    <row r="567" spans="1:7" x14ac:dyDescent="0.3">
      <c r="A567">
        <v>566</v>
      </c>
      <c r="B567">
        <v>372</v>
      </c>
      <c r="C567" s="1">
        <v>45688</v>
      </c>
      <c r="D567" t="s">
        <v>21</v>
      </c>
      <c r="E567" t="s">
        <v>19</v>
      </c>
      <c r="F567" t="s">
        <v>26</v>
      </c>
      <c r="G567">
        <v>5</v>
      </c>
    </row>
    <row r="568" spans="1:7" x14ac:dyDescent="0.3">
      <c r="A568">
        <v>567</v>
      </c>
      <c r="B568">
        <v>372</v>
      </c>
      <c r="C568" s="1">
        <v>45688</v>
      </c>
      <c r="D568" t="s">
        <v>21</v>
      </c>
      <c r="E568" t="s">
        <v>19</v>
      </c>
      <c r="F568" t="s">
        <v>27</v>
      </c>
      <c r="G568">
        <v>29</v>
      </c>
    </row>
    <row r="569" spans="1:7" x14ac:dyDescent="0.3">
      <c r="A569">
        <v>568</v>
      </c>
      <c r="B569">
        <v>372</v>
      </c>
      <c r="C569" s="1">
        <v>45688</v>
      </c>
      <c r="D569" t="s">
        <v>21</v>
      </c>
      <c r="E569" t="s">
        <v>19</v>
      </c>
      <c r="F569" t="s">
        <v>27</v>
      </c>
      <c r="G569">
        <v>5</v>
      </c>
    </row>
    <row r="570" spans="1:7" x14ac:dyDescent="0.3">
      <c r="A570">
        <v>569</v>
      </c>
      <c r="B570">
        <v>373</v>
      </c>
      <c r="C570" s="1">
        <v>45689</v>
      </c>
      <c r="D570" t="s">
        <v>15</v>
      </c>
      <c r="E570" t="s">
        <v>16</v>
      </c>
      <c r="F570" t="s">
        <v>26</v>
      </c>
      <c r="G570">
        <v>7</v>
      </c>
    </row>
    <row r="571" spans="1:7" x14ac:dyDescent="0.3">
      <c r="A571">
        <v>570</v>
      </c>
      <c r="B571">
        <v>374</v>
      </c>
      <c r="C571" s="1">
        <v>45689</v>
      </c>
      <c r="D571" t="s">
        <v>15</v>
      </c>
      <c r="E571" t="s">
        <v>17</v>
      </c>
      <c r="F571" t="s">
        <v>27</v>
      </c>
      <c r="G571">
        <v>5</v>
      </c>
    </row>
    <row r="572" spans="1:7" x14ac:dyDescent="0.3">
      <c r="A572">
        <v>571</v>
      </c>
      <c r="B572">
        <v>376</v>
      </c>
      <c r="C572" s="1">
        <v>45689</v>
      </c>
      <c r="D572" t="s">
        <v>15</v>
      </c>
      <c r="E572" t="s">
        <v>19</v>
      </c>
      <c r="F572" t="s">
        <v>30</v>
      </c>
      <c r="G572">
        <v>6</v>
      </c>
    </row>
    <row r="573" spans="1:7" x14ac:dyDescent="0.3">
      <c r="A573">
        <v>572</v>
      </c>
      <c r="B573">
        <v>376</v>
      </c>
      <c r="C573" s="1">
        <v>45689</v>
      </c>
      <c r="D573" t="s">
        <v>15</v>
      </c>
      <c r="E573" t="s">
        <v>19</v>
      </c>
      <c r="F573" t="s">
        <v>27</v>
      </c>
      <c r="G573">
        <v>28</v>
      </c>
    </row>
    <row r="574" spans="1:7" x14ac:dyDescent="0.3">
      <c r="A574">
        <v>573</v>
      </c>
      <c r="B574">
        <v>377</v>
      </c>
      <c r="C574" s="1">
        <v>45689</v>
      </c>
      <c r="D574" t="s">
        <v>20</v>
      </c>
      <c r="E574" t="s">
        <v>16</v>
      </c>
      <c r="F574" t="s">
        <v>30</v>
      </c>
      <c r="G574">
        <v>5</v>
      </c>
    </row>
    <row r="575" spans="1:7" x14ac:dyDescent="0.3">
      <c r="A575">
        <v>574</v>
      </c>
      <c r="B575">
        <v>378</v>
      </c>
      <c r="C575" s="1">
        <v>45689</v>
      </c>
      <c r="D575" t="s">
        <v>20</v>
      </c>
      <c r="E575" t="s">
        <v>17</v>
      </c>
      <c r="F575" t="s">
        <v>25</v>
      </c>
      <c r="G575">
        <v>112</v>
      </c>
    </row>
    <row r="576" spans="1:7" x14ac:dyDescent="0.3">
      <c r="A576">
        <v>575</v>
      </c>
      <c r="B576">
        <v>381</v>
      </c>
      <c r="C576" s="1">
        <v>45689</v>
      </c>
      <c r="D576" t="s">
        <v>21</v>
      </c>
      <c r="E576" t="s">
        <v>16</v>
      </c>
      <c r="F576" t="s">
        <v>27</v>
      </c>
      <c r="G576">
        <v>28</v>
      </c>
    </row>
    <row r="577" spans="1:7" x14ac:dyDescent="0.3">
      <c r="A577">
        <v>576</v>
      </c>
      <c r="B577">
        <v>381</v>
      </c>
      <c r="C577" s="1">
        <v>45689</v>
      </c>
      <c r="D577" t="s">
        <v>21</v>
      </c>
      <c r="E577" t="s">
        <v>16</v>
      </c>
      <c r="F577" t="s">
        <v>25</v>
      </c>
      <c r="G577">
        <v>19</v>
      </c>
    </row>
    <row r="578" spans="1:7" x14ac:dyDescent="0.3">
      <c r="A578">
        <v>577</v>
      </c>
      <c r="B578">
        <v>381</v>
      </c>
      <c r="C578" s="1">
        <v>45689</v>
      </c>
      <c r="D578" t="s">
        <v>21</v>
      </c>
      <c r="E578" t="s">
        <v>16</v>
      </c>
      <c r="F578" t="s">
        <v>29</v>
      </c>
      <c r="G578">
        <v>73</v>
      </c>
    </row>
    <row r="579" spans="1:7" x14ac:dyDescent="0.3">
      <c r="A579">
        <v>578</v>
      </c>
      <c r="B579">
        <v>382</v>
      </c>
      <c r="C579" s="1">
        <v>45689</v>
      </c>
      <c r="D579" t="s">
        <v>21</v>
      </c>
      <c r="E579" t="s">
        <v>17</v>
      </c>
      <c r="F579" t="s">
        <v>25</v>
      </c>
      <c r="G579">
        <v>40</v>
      </c>
    </row>
    <row r="580" spans="1:7" x14ac:dyDescent="0.3">
      <c r="A580">
        <v>579</v>
      </c>
      <c r="B580">
        <v>382</v>
      </c>
      <c r="C580" s="1">
        <v>45689</v>
      </c>
      <c r="D580" t="s">
        <v>21</v>
      </c>
      <c r="E580" t="s">
        <v>17</v>
      </c>
      <c r="F580" t="s">
        <v>25</v>
      </c>
      <c r="G580">
        <v>18</v>
      </c>
    </row>
    <row r="581" spans="1:7" x14ac:dyDescent="0.3">
      <c r="A581">
        <v>580</v>
      </c>
      <c r="B581">
        <v>384</v>
      </c>
      <c r="C581" s="1">
        <v>45689</v>
      </c>
      <c r="D581" t="s">
        <v>21</v>
      </c>
      <c r="E581" t="s">
        <v>19</v>
      </c>
      <c r="F581" t="s">
        <v>30</v>
      </c>
      <c r="G581">
        <v>27</v>
      </c>
    </row>
    <row r="582" spans="1:7" x14ac:dyDescent="0.3">
      <c r="A582">
        <v>581</v>
      </c>
      <c r="B582">
        <v>385</v>
      </c>
      <c r="C582" s="1">
        <v>45690</v>
      </c>
      <c r="D582" t="s">
        <v>15</v>
      </c>
      <c r="E582" t="s">
        <v>16</v>
      </c>
      <c r="F582" t="s">
        <v>29</v>
      </c>
      <c r="G582">
        <v>19</v>
      </c>
    </row>
    <row r="583" spans="1:7" x14ac:dyDescent="0.3">
      <c r="A583">
        <v>582</v>
      </c>
      <c r="B583">
        <v>385</v>
      </c>
      <c r="C583" s="1">
        <v>45690</v>
      </c>
      <c r="D583" t="s">
        <v>15</v>
      </c>
      <c r="E583" t="s">
        <v>16</v>
      </c>
      <c r="F583" t="s">
        <v>25</v>
      </c>
      <c r="G583">
        <v>24</v>
      </c>
    </row>
    <row r="584" spans="1:7" x14ac:dyDescent="0.3">
      <c r="A584">
        <v>583</v>
      </c>
      <c r="B584">
        <v>386</v>
      </c>
      <c r="C584" s="1">
        <v>45690</v>
      </c>
      <c r="D584" t="s">
        <v>15</v>
      </c>
      <c r="E584" t="s">
        <v>17</v>
      </c>
      <c r="F584" t="s">
        <v>27</v>
      </c>
      <c r="G584">
        <v>14</v>
      </c>
    </row>
    <row r="585" spans="1:7" x14ac:dyDescent="0.3">
      <c r="A585">
        <v>584</v>
      </c>
      <c r="B585">
        <v>387</v>
      </c>
      <c r="C585" s="1">
        <v>45690</v>
      </c>
      <c r="D585" t="s">
        <v>15</v>
      </c>
      <c r="E585" t="s">
        <v>18</v>
      </c>
      <c r="F585" t="s">
        <v>25</v>
      </c>
      <c r="G585">
        <v>11</v>
      </c>
    </row>
    <row r="586" spans="1:7" x14ac:dyDescent="0.3">
      <c r="A586">
        <v>585</v>
      </c>
      <c r="B586">
        <v>388</v>
      </c>
      <c r="C586" s="1">
        <v>45690</v>
      </c>
      <c r="D586" t="s">
        <v>15</v>
      </c>
      <c r="E586" t="s">
        <v>19</v>
      </c>
      <c r="F586" t="s">
        <v>26</v>
      </c>
      <c r="G586">
        <v>40</v>
      </c>
    </row>
    <row r="587" spans="1:7" x14ac:dyDescent="0.3">
      <c r="A587">
        <v>586</v>
      </c>
      <c r="B587">
        <v>389</v>
      </c>
      <c r="C587" s="1">
        <v>45690</v>
      </c>
      <c r="D587" t="s">
        <v>20</v>
      </c>
      <c r="E587" t="s">
        <v>16</v>
      </c>
      <c r="F587" t="s">
        <v>26</v>
      </c>
      <c r="G587">
        <v>50</v>
      </c>
    </row>
    <row r="588" spans="1:7" x14ac:dyDescent="0.3">
      <c r="A588">
        <v>587</v>
      </c>
      <c r="B588">
        <v>390</v>
      </c>
      <c r="C588" s="1">
        <v>45690</v>
      </c>
      <c r="D588" t="s">
        <v>20</v>
      </c>
      <c r="E588" t="s">
        <v>17</v>
      </c>
      <c r="F588" t="s">
        <v>27</v>
      </c>
      <c r="G588">
        <v>21</v>
      </c>
    </row>
    <row r="589" spans="1:7" x14ac:dyDescent="0.3">
      <c r="A589">
        <v>588</v>
      </c>
      <c r="B589">
        <v>390</v>
      </c>
      <c r="C589" s="1">
        <v>45690</v>
      </c>
      <c r="D589" t="s">
        <v>20</v>
      </c>
      <c r="E589" t="s">
        <v>17</v>
      </c>
      <c r="F589" t="s">
        <v>25</v>
      </c>
      <c r="G589">
        <v>35</v>
      </c>
    </row>
    <row r="590" spans="1:7" x14ac:dyDescent="0.3">
      <c r="A590">
        <v>589</v>
      </c>
      <c r="B590">
        <v>390</v>
      </c>
      <c r="C590" s="1">
        <v>45690</v>
      </c>
      <c r="D590" t="s">
        <v>20</v>
      </c>
      <c r="E590" t="s">
        <v>17</v>
      </c>
      <c r="F590" t="s">
        <v>26</v>
      </c>
      <c r="G590">
        <v>5</v>
      </c>
    </row>
    <row r="591" spans="1:7" x14ac:dyDescent="0.3">
      <c r="A591">
        <v>590</v>
      </c>
      <c r="B591">
        <v>390</v>
      </c>
      <c r="C591" s="1">
        <v>45690</v>
      </c>
      <c r="D591" t="s">
        <v>20</v>
      </c>
      <c r="E591" t="s">
        <v>17</v>
      </c>
      <c r="F591" t="s">
        <v>30</v>
      </c>
      <c r="G591">
        <v>13</v>
      </c>
    </row>
    <row r="592" spans="1:7" x14ac:dyDescent="0.3">
      <c r="A592">
        <v>591</v>
      </c>
      <c r="B592">
        <v>391</v>
      </c>
      <c r="C592" s="1">
        <v>45690</v>
      </c>
      <c r="D592" t="s">
        <v>20</v>
      </c>
      <c r="E592" t="s">
        <v>18</v>
      </c>
      <c r="F592" t="s">
        <v>25</v>
      </c>
      <c r="G592">
        <v>56</v>
      </c>
    </row>
    <row r="593" spans="1:7" x14ac:dyDescent="0.3">
      <c r="A593">
        <v>592</v>
      </c>
      <c r="B593">
        <v>392</v>
      </c>
      <c r="C593" s="1">
        <v>45690</v>
      </c>
      <c r="D593" t="s">
        <v>20</v>
      </c>
      <c r="E593" t="s">
        <v>19</v>
      </c>
      <c r="F593" t="s">
        <v>28</v>
      </c>
      <c r="G593">
        <v>105</v>
      </c>
    </row>
    <row r="594" spans="1:7" x14ac:dyDescent="0.3">
      <c r="A594">
        <v>593</v>
      </c>
      <c r="B594">
        <v>392</v>
      </c>
      <c r="C594" s="1">
        <v>45690</v>
      </c>
      <c r="D594" t="s">
        <v>20</v>
      </c>
      <c r="E594" t="s">
        <v>19</v>
      </c>
      <c r="F594" t="s">
        <v>26</v>
      </c>
      <c r="G594">
        <v>37</v>
      </c>
    </row>
    <row r="595" spans="1:7" x14ac:dyDescent="0.3">
      <c r="A595">
        <v>594</v>
      </c>
      <c r="B595">
        <v>393</v>
      </c>
      <c r="C595" s="1">
        <v>45690</v>
      </c>
      <c r="D595" t="s">
        <v>21</v>
      </c>
      <c r="E595" t="s">
        <v>16</v>
      </c>
      <c r="F595" t="s">
        <v>30</v>
      </c>
      <c r="G595">
        <v>5</v>
      </c>
    </row>
    <row r="596" spans="1:7" x14ac:dyDescent="0.3">
      <c r="A596">
        <v>595</v>
      </c>
      <c r="B596">
        <v>393</v>
      </c>
      <c r="C596" s="1">
        <v>45690</v>
      </c>
      <c r="D596" t="s">
        <v>21</v>
      </c>
      <c r="E596" t="s">
        <v>16</v>
      </c>
      <c r="F596" t="s">
        <v>25</v>
      </c>
      <c r="G596">
        <v>18</v>
      </c>
    </row>
    <row r="597" spans="1:7" x14ac:dyDescent="0.3">
      <c r="A597">
        <v>596</v>
      </c>
      <c r="B597">
        <v>393</v>
      </c>
      <c r="C597" s="1">
        <v>45690</v>
      </c>
      <c r="D597" t="s">
        <v>21</v>
      </c>
      <c r="E597" t="s">
        <v>16</v>
      </c>
      <c r="F597" t="s">
        <v>28</v>
      </c>
      <c r="G597">
        <v>116</v>
      </c>
    </row>
    <row r="598" spans="1:7" x14ac:dyDescent="0.3">
      <c r="A598">
        <v>597</v>
      </c>
      <c r="B598">
        <v>394</v>
      </c>
      <c r="C598" s="1">
        <v>45690</v>
      </c>
      <c r="D598" t="s">
        <v>21</v>
      </c>
      <c r="E598" t="s">
        <v>17</v>
      </c>
      <c r="F598" t="s">
        <v>25</v>
      </c>
      <c r="G598">
        <v>69</v>
      </c>
    </row>
    <row r="599" spans="1:7" x14ac:dyDescent="0.3">
      <c r="A599">
        <v>598</v>
      </c>
      <c r="B599">
        <v>394</v>
      </c>
      <c r="C599" s="1">
        <v>45690</v>
      </c>
      <c r="D599" t="s">
        <v>21</v>
      </c>
      <c r="E599" t="s">
        <v>17</v>
      </c>
      <c r="F599" t="s">
        <v>26</v>
      </c>
      <c r="G599">
        <v>14</v>
      </c>
    </row>
    <row r="600" spans="1:7" x14ac:dyDescent="0.3">
      <c r="A600">
        <v>599</v>
      </c>
      <c r="B600">
        <v>394</v>
      </c>
      <c r="C600" s="1">
        <v>45690</v>
      </c>
      <c r="D600" t="s">
        <v>21</v>
      </c>
      <c r="E600" t="s">
        <v>17</v>
      </c>
      <c r="F600" t="s">
        <v>25</v>
      </c>
      <c r="G600">
        <v>82</v>
      </c>
    </row>
    <row r="601" spans="1:7" x14ac:dyDescent="0.3">
      <c r="A601">
        <v>600</v>
      </c>
      <c r="B601">
        <v>395</v>
      </c>
      <c r="C601" s="1">
        <v>45690</v>
      </c>
      <c r="D601" t="s">
        <v>21</v>
      </c>
      <c r="E601" t="s">
        <v>18</v>
      </c>
      <c r="F601" t="s">
        <v>26</v>
      </c>
      <c r="G601">
        <v>50</v>
      </c>
    </row>
    <row r="602" spans="1:7" x14ac:dyDescent="0.3">
      <c r="A602">
        <v>601</v>
      </c>
      <c r="B602">
        <v>395</v>
      </c>
      <c r="C602" s="1">
        <v>45690</v>
      </c>
      <c r="D602" t="s">
        <v>21</v>
      </c>
      <c r="E602" t="s">
        <v>18</v>
      </c>
      <c r="F602" t="s">
        <v>27</v>
      </c>
      <c r="G602">
        <v>68</v>
      </c>
    </row>
    <row r="603" spans="1:7" x14ac:dyDescent="0.3">
      <c r="A603">
        <v>602</v>
      </c>
      <c r="B603">
        <v>396</v>
      </c>
      <c r="C603" s="1">
        <v>45690</v>
      </c>
      <c r="D603" t="s">
        <v>21</v>
      </c>
      <c r="E603" t="s">
        <v>19</v>
      </c>
      <c r="F603" t="s">
        <v>30</v>
      </c>
      <c r="G603">
        <v>12</v>
      </c>
    </row>
    <row r="604" spans="1:7" x14ac:dyDescent="0.3">
      <c r="A604">
        <v>603</v>
      </c>
      <c r="B604">
        <v>396</v>
      </c>
      <c r="C604" s="1">
        <v>45690</v>
      </c>
      <c r="D604" t="s">
        <v>21</v>
      </c>
      <c r="E604" t="s">
        <v>19</v>
      </c>
      <c r="F604" t="s">
        <v>27</v>
      </c>
      <c r="G604">
        <v>5</v>
      </c>
    </row>
    <row r="605" spans="1:7" x14ac:dyDescent="0.3">
      <c r="A605">
        <v>604</v>
      </c>
      <c r="B605">
        <v>397</v>
      </c>
      <c r="C605" s="1">
        <v>45691</v>
      </c>
      <c r="D605" t="s">
        <v>15</v>
      </c>
      <c r="E605" t="s">
        <v>16</v>
      </c>
      <c r="F605" t="s">
        <v>29</v>
      </c>
      <c r="G605">
        <v>27</v>
      </c>
    </row>
    <row r="606" spans="1:7" x14ac:dyDescent="0.3">
      <c r="A606">
        <v>605</v>
      </c>
      <c r="B606">
        <v>398</v>
      </c>
      <c r="C606" s="1">
        <v>45691</v>
      </c>
      <c r="D606" t="s">
        <v>15</v>
      </c>
      <c r="E606" t="s">
        <v>17</v>
      </c>
      <c r="F606" t="s">
        <v>26</v>
      </c>
      <c r="G606">
        <v>5</v>
      </c>
    </row>
    <row r="607" spans="1:7" x14ac:dyDescent="0.3">
      <c r="A607">
        <v>606</v>
      </c>
      <c r="B607">
        <v>398</v>
      </c>
      <c r="C607" s="1">
        <v>45691</v>
      </c>
      <c r="D607" t="s">
        <v>15</v>
      </c>
      <c r="E607" t="s">
        <v>17</v>
      </c>
      <c r="F607" t="s">
        <v>27</v>
      </c>
      <c r="G607">
        <v>6</v>
      </c>
    </row>
    <row r="608" spans="1:7" x14ac:dyDescent="0.3">
      <c r="A608">
        <v>607</v>
      </c>
      <c r="B608">
        <v>398</v>
      </c>
      <c r="C608" s="1">
        <v>45691</v>
      </c>
      <c r="D608" t="s">
        <v>15</v>
      </c>
      <c r="E608" t="s">
        <v>17</v>
      </c>
      <c r="F608" t="s">
        <v>25</v>
      </c>
      <c r="G608">
        <v>19</v>
      </c>
    </row>
    <row r="609" spans="1:7" x14ac:dyDescent="0.3">
      <c r="A609">
        <v>608</v>
      </c>
      <c r="B609">
        <v>398</v>
      </c>
      <c r="C609" s="1">
        <v>45691</v>
      </c>
      <c r="D609" t="s">
        <v>15</v>
      </c>
      <c r="E609" t="s">
        <v>17</v>
      </c>
      <c r="F609" t="s">
        <v>26</v>
      </c>
      <c r="G609">
        <v>12</v>
      </c>
    </row>
    <row r="610" spans="1:7" x14ac:dyDescent="0.3">
      <c r="A610">
        <v>609</v>
      </c>
      <c r="B610">
        <v>400</v>
      </c>
      <c r="C610" s="1">
        <v>45691</v>
      </c>
      <c r="D610" t="s">
        <v>15</v>
      </c>
      <c r="E610" t="s">
        <v>19</v>
      </c>
      <c r="F610" t="s">
        <v>25</v>
      </c>
      <c r="G610">
        <v>21</v>
      </c>
    </row>
    <row r="611" spans="1:7" x14ac:dyDescent="0.3">
      <c r="A611">
        <v>610</v>
      </c>
      <c r="B611">
        <v>400</v>
      </c>
      <c r="C611" s="1">
        <v>45691</v>
      </c>
      <c r="D611" t="s">
        <v>15</v>
      </c>
      <c r="E611" t="s">
        <v>19</v>
      </c>
      <c r="F611" t="s">
        <v>28</v>
      </c>
      <c r="G611">
        <v>61</v>
      </c>
    </row>
    <row r="612" spans="1:7" x14ac:dyDescent="0.3">
      <c r="A612">
        <v>611</v>
      </c>
      <c r="B612">
        <v>403</v>
      </c>
      <c r="C612" s="1">
        <v>45691</v>
      </c>
      <c r="D612" t="s">
        <v>20</v>
      </c>
      <c r="E612" t="s">
        <v>18</v>
      </c>
      <c r="F612" t="s">
        <v>27</v>
      </c>
      <c r="G612">
        <v>5</v>
      </c>
    </row>
    <row r="613" spans="1:7" x14ac:dyDescent="0.3">
      <c r="A613">
        <v>612</v>
      </c>
      <c r="B613">
        <v>403</v>
      </c>
      <c r="C613" s="1">
        <v>45691</v>
      </c>
      <c r="D613" t="s">
        <v>20</v>
      </c>
      <c r="E613" t="s">
        <v>18</v>
      </c>
      <c r="F613" t="s">
        <v>28</v>
      </c>
      <c r="G613">
        <v>7</v>
      </c>
    </row>
    <row r="614" spans="1:7" x14ac:dyDescent="0.3">
      <c r="A614">
        <v>613</v>
      </c>
      <c r="B614">
        <v>404</v>
      </c>
      <c r="C614" s="1">
        <v>45691</v>
      </c>
      <c r="D614" t="s">
        <v>20</v>
      </c>
      <c r="E614" t="s">
        <v>19</v>
      </c>
      <c r="F614" t="s">
        <v>27</v>
      </c>
      <c r="G614">
        <v>6</v>
      </c>
    </row>
    <row r="615" spans="1:7" x14ac:dyDescent="0.3">
      <c r="A615">
        <v>614</v>
      </c>
      <c r="B615">
        <v>404</v>
      </c>
      <c r="C615" s="1">
        <v>45691</v>
      </c>
      <c r="D615" t="s">
        <v>20</v>
      </c>
      <c r="E615" t="s">
        <v>19</v>
      </c>
      <c r="F615" t="s">
        <v>25</v>
      </c>
      <c r="G615">
        <v>29</v>
      </c>
    </row>
    <row r="616" spans="1:7" x14ac:dyDescent="0.3">
      <c r="A616">
        <v>615</v>
      </c>
      <c r="B616">
        <v>405</v>
      </c>
      <c r="C616" s="1">
        <v>45691</v>
      </c>
      <c r="D616" t="s">
        <v>21</v>
      </c>
      <c r="E616" t="s">
        <v>16</v>
      </c>
      <c r="F616" t="s">
        <v>25</v>
      </c>
      <c r="G616">
        <v>136</v>
      </c>
    </row>
    <row r="617" spans="1:7" x14ac:dyDescent="0.3">
      <c r="A617">
        <v>616</v>
      </c>
      <c r="B617">
        <v>405</v>
      </c>
      <c r="C617" s="1">
        <v>45691</v>
      </c>
      <c r="D617" t="s">
        <v>21</v>
      </c>
      <c r="E617" t="s">
        <v>16</v>
      </c>
      <c r="F617" t="s">
        <v>25</v>
      </c>
      <c r="G617">
        <v>5</v>
      </c>
    </row>
    <row r="618" spans="1:7" x14ac:dyDescent="0.3">
      <c r="A618">
        <v>617</v>
      </c>
      <c r="B618">
        <v>405</v>
      </c>
      <c r="C618" s="1">
        <v>45691</v>
      </c>
      <c r="D618" t="s">
        <v>21</v>
      </c>
      <c r="E618" t="s">
        <v>16</v>
      </c>
      <c r="F618" t="s">
        <v>27</v>
      </c>
      <c r="G618">
        <v>19</v>
      </c>
    </row>
    <row r="619" spans="1:7" x14ac:dyDescent="0.3">
      <c r="A619">
        <v>618</v>
      </c>
      <c r="B619">
        <v>407</v>
      </c>
      <c r="C619" s="1">
        <v>45691</v>
      </c>
      <c r="D619" t="s">
        <v>21</v>
      </c>
      <c r="E619" t="s">
        <v>18</v>
      </c>
      <c r="F619" t="s">
        <v>25</v>
      </c>
      <c r="G619">
        <v>40</v>
      </c>
    </row>
    <row r="620" spans="1:7" x14ac:dyDescent="0.3">
      <c r="A620">
        <v>619</v>
      </c>
      <c r="B620">
        <v>407</v>
      </c>
      <c r="C620" s="1">
        <v>45691</v>
      </c>
      <c r="D620" t="s">
        <v>21</v>
      </c>
      <c r="E620" t="s">
        <v>18</v>
      </c>
      <c r="F620" t="s">
        <v>29</v>
      </c>
      <c r="G620">
        <v>73</v>
      </c>
    </row>
    <row r="621" spans="1:7" x14ac:dyDescent="0.3">
      <c r="A621">
        <v>620</v>
      </c>
      <c r="B621">
        <v>407</v>
      </c>
      <c r="C621" s="1">
        <v>45691</v>
      </c>
      <c r="D621" t="s">
        <v>21</v>
      </c>
      <c r="E621" t="s">
        <v>18</v>
      </c>
      <c r="F621" t="s">
        <v>25</v>
      </c>
      <c r="G621">
        <v>7</v>
      </c>
    </row>
    <row r="622" spans="1:7" x14ac:dyDescent="0.3">
      <c r="A622">
        <v>621</v>
      </c>
      <c r="B622">
        <v>408</v>
      </c>
      <c r="C622" s="1">
        <v>45691</v>
      </c>
      <c r="D622" t="s">
        <v>21</v>
      </c>
      <c r="E622" t="s">
        <v>19</v>
      </c>
      <c r="F622" t="s">
        <v>27</v>
      </c>
      <c r="G622">
        <v>24</v>
      </c>
    </row>
    <row r="623" spans="1:7" x14ac:dyDescent="0.3">
      <c r="A623">
        <v>622</v>
      </c>
      <c r="B623">
        <v>410</v>
      </c>
      <c r="C623" s="1">
        <v>45692</v>
      </c>
      <c r="D623" t="s">
        <v>15</v>
      </c>
      <c r="E623" t="s">
        <v>17</v>
      </c>
      <c r="F623" t="s">
        <v>30</v>
      </c>
      <c r="G623">
        <v>5</v>
      </c>
    </row>
    <row r="624" spans="1:7" x14ac:dyDescent="0.3">
      <c r="A624">
        <v>623</v>
      </c>
      <c r="B624">
        <v>410</v>
      </c>
      <c r="C624" s="1">
        <v>45692</v>
      </c>
      <c r="D624" t="s">
        <v>15</v>
      </c>
      <c r="E624" t="s">
        <v>17</v>
      </c>
      <c r="F624" t="s">
        <v>26</v>
      </c>
      <c r="G624">
        <v>113</v>
      </c>
    </row>
    <row r="625" spans="1:7" x14ac:dyDescent="0.3">
      <c r="A625">
        <v>624</v>
      </c>
      <c r="B625">
        <v>411</v>
      </c>
      <c r="C625" s="1">
        <v>45692</v>
      </c>
      <c r="D625" t="s">
        <v>15</v>
      </c>
      <c r="E625" t="s">
        <v>18</v>
      </c>
      <c r="F625" t="s">
        <v>26</v>
      </c>
      <c r="G625">
        <v>73</v>
      </c>
    </row>
    <row r="626" spans="1:7" x14ac:dyDescent="0.3">
      <c r="A626">
        <v>625</v>
      </c>
      <c r="B626">
        <v>412</v>
      </c>
      <c r="C626" s="1">
        <v>45692</v>
      </c>
      <c r="D626" t="s">
        <v>15</v>
      </c>
      <c r="E626" t="s">
        <v>19</v>
      </c>
      <c r="F626" t="s">
        <v>27</v>
      </c>
      <c r="G626">
        <v>19</v>
      </c>
    </row>
    <row r="627" spans="1:7" x14ac:dyDescent="0.3">
      <c r="A627">
        <v>626</v>
      </c>
      <c r="B627">
        <v>412</v>
      </c>
      <c r="C627" s="1">
        <v>45692</v>
      </c>
      <c r="D627" t="s">
        <v>15</v>
      </c>
      <c r="E627" t="s">
        <v>19</v>
      </c>
      <c r="F627" t="s">
        <v>26</v>
      </c>
      <c r="G627">
        <v>8</v>
      </c>
    </row>
    <row r="628" spans="1:7" x14ac:dyDescent="0.3">
      <c r="A628">
        <v>627</v>
      </c>
      <c r="B628">
        <v>415</v>
      </c>
      <c r="C628" s="1">
        <v>45692</v>
      </c>
      <c r="D628" t="s">
        <v>20</v>
      </c>
      <c r="E628" t="s">
        <v>18</v>
      </c>
      <c r="F628" t="s">
        <v>25</v>
      </c>
      <c r="G628">
        <v>27</v>
      </c>
    </row>
    <row r="629" spans="1:7" x14ac:dyDescent="0.3">
      <c r="A629">
        <v>628</v>
      </c>
      <c r="B629">
        <v>416</v>
      </c>
      <c r="C629" s="1">
        <v>45692</v>
      </c>
      <c r="D629" t="s">
        <v>20</v>
      </c>
      <c r="E629" t="s">
        <v>19</v>
      </c>
      <c r="F629" t="s">
        <v>28</v>
      </c>
      <c r="G629">
        <v>109</v>
      </c>
    </row>
    <row r="630" spans="1:7" x14ac:dyDescent="0.3">
      <c r="A630">
        <v>629</v>
      </c>
      <c r="B630">
        <v>417</v>
      </c>
      <c r="C630" s="1">
        <v>45692</v>
      </c>
      <c r="D630" t="s">
        <v>21</v>
      </c>
      <c r="E630" t="s">
        <v>16</v>
      </c>
      <c r="F630" t="s">
        <v>26</v>
      </c>
      <c r="G630">
        <v>40</v>
      </c>
    </row>
    <row r="631" spans="1:7" x14ac:dyDescent="0.3">
      <c r="A631">
        <v>630</v>
      </c>
      <c r="B631">
        <v>417</v>
      </c>
      <c r="C631" s="1">
        <v>45692</v>
      </c>
      <c r="D631" t="s">
        <v>21</v>
      </c>
      <c r="E631" t="s">
        <v>16</v>
      </c>
      <c r="F631" t="s">
        <v>26</v>
      </c>
      <c r="G631">
        <v>22</v>
      </c>
    </row>
    <row r="632" spans="1:7" x14ac:dyDescent="0.3">
      <c r="A632">
        <v>631</v>
      </c>
      <c r="B632">
        <v>418</v>
      </c>
      <c r="C632" s="1">
        <v>45692</v>
      </c>
      <c r="D632" t="s">
        <v>21</v>
      </c>
      <c r="E632" t="s">
        <v>17</v>
      </c>
      <c r="F632" t="s">
        <v>27</v>
      </c>
      <c r="G632">
        <v>45</v>
      </c>
    </row>
    <row r="633" spans="1:7" x14ac:dyDescent="0.3">
      <c r="A633">
        <v>632</v>
      </c>
      <c r="B633">
        <v>418</v>
      </c>
      <c r="C633" s="1">
        <v>45692</v>
      </c>
      <c r="D633" t="s">
        <v>21</v>
      </c>
      <c r="E633" t="s">
        <v>17</v>
      </c>
      <c r="F633" t="s">
        <v>26</v>
      </c>
      <c r="G633">
        <v>46</v>
      </c>
    </row>
    <row r="634" spans="1:7" x14ac:dyDescent="0.3">
      <c r="A634">
        <v>633</v>
      </c>
      <c r="B634">
        <v>418</v>
      </c>
      <c r="C634" s="1">
        <v>45692</v>
      </c>
      <c r="D634" t="s">
        <v>21</v>
      </c>
      <c r="E634" t="s">
        <v>17</v>
      </c>
      <c r="F634" t="s">
        <v>27</v>
      </c>
      <c r="G634">
        <v>19</v>
      </c>
    </row>
    <row r="635" spans="1:7" x14ac:dyDescent="0.3">
      <c r="A635">
        <v>634</v>
      </c>
      <c r="B635">
        <v>419</v>
      </c>
      <c r="C635" s="1">
        <v>45692</v>
      </c>
      <c r="D635" t="s">
        <v>21</v>
      </c>
      <c r="E635" t="s">
        <v>18</v>
      </c>
      <c r="F635" t="s">
        <v>26</v>
      </c>
      <c r="G635">
        <v>82</v>
      </c>
    </row>
    <row r="636" spans="1:7" x14ac:dyDescent="0.3">
      <c r="A636">
        <v>635</v>
      </c>
      <c r="B636">
        <v>420</v>
      </c>
      <c r="C636" s="1">
        <v>45692</v>
      </c>
      <c r="D636" t="s">
        <v>21</v>
      </c>
      <c r="E636" t="s">
        <v>19</v>
      </c>
      <c r="F636" t="s">
        <v>25</v>
      </c>
      <c r="G636">
        <v>16</v>
      </c>
    </row>
    <row r="637" spans="1:7" x14ac:dyDescent="0.3">
      <c r="A637">
        <v>636</v>
      </c>
      <c r="B637">
        <v>421</v>
      </c>
      <c r="C637" s="1">
        <v>45693</v>
      </c>
      <c r="D637" t="s">
        <v>15</v>
      </c>
      <c r="E637" t="s">
        <v>16</v>
      </c>
      <c r="F637" t="s">
        <v>30</v>
      </c>
      <c r="G637">
        <v>7</v>
      </c>
    </row>
    <row r="638" spans="1:7" x14ac:dyDescent="0.3">
      <c r="A638">
        <v>637</v>
      </c>
      <c r="B638">
        <v>421</v>
      </c>
      <c r="C638" s="1">
        <v>45693</v>
      </c>
      <c r="D638" t="s">
        <v>15</v>
      </c>
      <c r="E638" t="s">
        <v>16</v>
      </c>
      <c r="F638" t="s">
        <v>26</v>
      </c>
      <c r="G638">
        <v>9</v>
      </c>
    </row>
    <row r="639" spans="1:7" x14ac:dyDescent="0.3">
      <c r="A639">
        <v>638</v>
      </c>
      <c r="B639">
        <v>423</v>
      </c>
      <c r="C639" s="1">
        <v>45693</v>
      </c>
      <c r="D639" t="s">
        <v>15</v>
      </c>
      <c r="E639" t="s">
        <v>18</v>
      </c>
      <c r="F639" t="s">
        <v>25</v>
      </c>
      <c r="G639">
        <v>16</v>
      </c>
    </row>
    <row r="640" spans="1:7" x14ac:dyDescent="0.3">
      <c r="A640">
        <v>639</v>
      </c>
      <c r="B640">
        <v>423</v>
      </c>
      <c r="C640" s="1">
        <v>45693</v>
      </c>
      <c r="D640" t="s">
        <v>15</v>
      </c>
      <c r="E640" t="s">
        <v>18</v>
      </c>
      <c r="F640" t="s">
        <v>25</v>
      </c>
      <c r="G640">
        <v>32</v>
      </c>
    </row>
    <row r="641" spans="1:7" x14ac:dyDescent="0.3">
      <c r="A641">
        <v>640</v>
      </c>
      <c r="B641">
        <v>423</v>
      </c>
      <c r="C641" s="1">
        <v>45693</v>
      </c>
      <c r="D641" t="s">
        <v>15</v>
      </c>
      <c r="E641" t="s">
        <v>18</v>
      </c>
      <c r="F641" t="s">
        <v>27</v>
      </c>
      <c r="G641">
        <v>8</v>
      </c>
    </row>
    <row r="642" spans="1:7" x14ac:dyDescent="0.3">
      <c r="A642">
        <v>641</v>
      </c>
      <c r="B642">
        <v>424</v>
      </c>
      <c r="C642" s="1">
        <v>45693</v>
      </c>
      <c r="D642" t="s">
        <v>15</v>
      </c>
      <c r="E642" t="s">
        <v>19</v>
      </c>
      <c r="F642" t="s">
        <v>28</v>
      </c>
      <c r="G642">
        <v>23</v>
      </c>
    </row>
    <row r="643" spans="1:7" x14ac:dyDescent="0.3">
      <c r="A643">
        <v>642</v>
      </c>
      <c r="B643">
        <v>424</v>
      </c>
      <c r="C643" s="1">
        <v>45693</v>
      </c>
      <c r="D643" t="s">
        <v>15</v>
      </c>
      <c r="E643" t="s">
        <v>19</v>
      </c>
      <c r="F643" t="s">
        <v>27</v>
      </c>
      <c r="G643">
        <v>14</v>
      </c>
    </row>
    <row r="644" spans="1:7" x14ac:dyDescent="0.3">
      <c r="A644">
        <v>643</v>
      </c>
      <c r="B644">
        <v>426</v>
      </c>
      <c r="C644" s="1">
        <v>45693</v>
      </c>
      <c r="D644" t="s">
        <v>20</v>
      </c>
      <c r="E644" t="s">
        <v>17</v>
      </c>
      <c r="F644" t="s">
        <v>29</v>
      </c>
      <c r="G644">
        <v>28</v>
      </c>
    </row>
    <row r="645" spans="1:7" x14ac:dyDescent="0.3">
      <c r="A645">
        <v>644</v>
      </c>
      <c r="B645">
        <v>427</v>
      </c>
      <c r="C645" s="1">
        <v>45693</v>
      </c>
      <c r="D645" t="s">
        <v>20</v>
      </c>
      <c r="E645" t="s">
        <v>18</v>
      </c>
      <c r="F645" t="s">
        <v>25</v>
      </c>
      <c r="G645">
        <v>50</v>
      </c>
    </row>
    <row r="646" spans="1:7" x14ac:dyDescent="0.3">
      <c r="A646">
        <v>645</v>
      </c>
      <c r="B646">
        <v>427</v>
      </c>
      <c r="C646" s="1">
        <v>45693</v>
      </c>
      <c r="D646" t="s">
        <v>20</v>
      </c>
      <c r="E646" t="s">
        <v>18</v>
      </c>
      <c r="F646" t="s">
        <v>25</v>
      </c>
      <c r="G646">
        <v>53</v>
      </c>
    </row>
    <row r="647" spans="1:7" x14ac:dyDescent="0.3">
      <c r="A647">
        <v>646</v>
      </c>
      <c r="B647">
        <v>429</v>
      </c>
      <c r="C647" s="1">
        <v>45693</v>
      </c>
      <c r="D647" t="s">
        <v>21</v>
      </c>
      <c r="E647" t="s">
        <v>16</v>
      </c>
      <c r="F647" t="s">
        <v>25</v>
      </c>
      <c r="G647">
        <v>5</v>
      </c>
    </row>
    <row r="648" spans="1:7" x14ac:dyDescent="0.3">
      <c r="A648">
        <v>647</v>
      </c>
      <c r="B648">
        <v>429</v>
      </c>
      <c r="C648" s="1">
        <v>45693</v>
      </c>
      <c r="D648" t="s">
        <v>21</v>
      </c>
      <c r="E648" t="s">
        <v>16</v>
      </c>
      <c r="F648" t="s">
        <v>25</v>
      </c>
      <c r="G648">
        <v>99</v>
      </c>
    </row>
    <row r="649" spans="1:7" x14ac:dyDescent="0.3">
      <c r="A649">
        <v>648</v>
      </c>
      <c r="B649">
        <v>431</v>
      </c>
      <c r="C649" s="1">
        <v>45693</v>
      </c>
      <c r="D649" t="s">
        <v>21</v>
      </c>
      <c r="E649" t="s">
        <v>18</v>
      </c>
      <c r="F649" t="s">
        <v>25</v>
      </c>
      <c r="G649">
        <v>22</v>
      </c>
    </row>
    <row r="650" spans="1:7" x14ac:dyDescent="0.3">
      <c r="A650">
        <v>649</v>
      </c>
      <c r="B650">
        <v>432</v>
      </c>
      <c r="C650" s="1">
        <v>45693</v>
      </c>
      <c r="D650" t="s">
        <v>21</v>
      </c>
      <c r="E650" t="s">
        <v>19</v>
      </c>
      <c r="F650" t="s">
        <v>27</v>
      </c>
      <c r="G650">
        <v>15</v>
      </c>
    </row>
    <row r="651" spans="1:7" x14ac:dyDescent="0.3">
      <c r="A651">
        <v>650</v>
      </c>
      <c r="B651">
        <v>432</v>
      </c>
      <c r="C651" s="1">
        <v>45693</v>
      </c>
      <c r="D651" t="s">
        <v>21</v>
      </c>
      <c r="E651" t="s">
        <v>19</v>
      </c>
      <c r="F651" t="s">
        <v>26</v>
      </c>
      <c r="G651">
        <v>36</v>
      </c>
    </row>
    <row r="652" spans="1:7" x14ac:dyDescent="0.3">
      <c r="A652">
        <v>651</v>
      </c>
      <c r="B652">
        <v>432</v>
      </c>
      <c r="C652" s="1">
        <v>45693</v>
      </c>
      <c r="D652" t="s">
        <v>21</v>
      </c>
      <c r="E652" t="s">
        <v>19</v>
      </c>
      <c r="F652" t="s">
        <v>25</v>
      </c>
      <c r="G652">
        <v>31</v>
      </c>
    </row>
    <row r="653" spans="1:7" x14ac:dyDescent="0.3">
      <c r="A653">
        <v>652</v>
      </c>
      <c r="B653">
        <v>433</v>
      </c>
      <c r="C653" s="1">
        <v>45694</v>
      </c>
      <c r="D653" t="s">
        <v>15</v>
      </c>
      <c r="E653" t="s">
        <v>16</v>
      </c>
      <c r="F653" t="s">
        <v>26</v>
      </c>
      <c r="G653">
        <v>5</v>
      </c>
    </row>
    <row r="654" spans="1:7" x14ac:dyDescent="0.3">
      <c r="A654">
        <v>653</v>
      </c>
      <c r="B654">
        <v>433</v>
      </c>
      <c r="C654" s="1">
        <v>45694</v>
      </c>
      <c r="D654" t="s">
        <v>15</v>
      </c>
      <c r="E654" t="s">
        <v>16</v>
      </c>
      <c r="F654" t="s">
        <v>25</v>
      </c>
      <c r="G654">
        <v>6</v>
      </c>
    </row>
    <row r="655" spans="1:7" x14ac:dyDescent="0.3">
      <c r="A655">
        <v>654</v>
      </c>
      <c r="B655">
        <v>434</v>
      </c>
      <c r="C655" s="1">
        <v>45694</v>
      </c>
      <c r="D655" t="s">
        <v>15</v>
      </c>
      <c r="E655" t="s">
        <v>17</v>
      </c>
      <c r="F655" t="s">
        <v>27</v>
      </c>
      <c r="G655">
        <v>10</v>
      </c>
    </row>
    <row r="656" spans="1:7" x14ac:dyDescent="0.3">
      <c r="A656">
        <v>655</v>
      </c>
      <c r="B656">
        <v>434</v>
      </c>
      <c r="C656" s="1">
        <v>45694</v>
      </c>
      <c r="D656" t="s">
        <v>15</v>
      </c>
      <c r="E656" t="s">
        <v>17</v>
      </c>
      <c r="F656" t="s">
        <v>25</v>
      </c>
      <c r="G656">
        <v>70</v>
      </c>
    </row>
    <row r="657" spans="1:7" x14ac:dyDescent="0.3">
      <c r="A657">
        <v>656</v>
      </c>
      <c r="B657">
        <v>435</v>
      </c>
      <c r="C657" s="1">
        <v>45694</v>
      </c>
      <c r="D657" t="s">
        <v>15</v>
      </c>
      <c r="E657" t="s">
        <v>18</v>
      </c>
      <c r="F657" t="s">
        <v>25</v>
      </c>
      <c r="G657">
        <v>57</v>
      </c>
    </row>
    <row r="658" spans="1:7" x14ac:dyDescent="0.3">
      <c r="A658">
        <v>657</v>
      </c>
      <c r="B658">
        <v>435</v>
      </c>
      <c r="C658" s="1">
        <v>45694</v>
      </c>
      <c r="D658" t="s">
        <v>15</v>
      </c>
      <c r="E658" t="s">
        <v>18</v>
      </c>
      <c r="F658" t="s">
        <v>27</v>
      </c>
      <c r="G658">
        <v>36</v>
      </c>
    </row>
    <row r="659" spans="1:7" x14ac:dyDescent="0.3">
      <c r="A659">
        <v>658</v>
      </c>
      <c r="B659">
        <v>435</v>
      </c>
      <c r="C659" s="1">
        <v>45694</v>
      </c>
      <c r="D659" t="s">
        <v>15</v>
      </c>
      <c r="E659" t="s">
        <v>18</v>
      </c>
      <c r="F659" t="s">
        <v>30</v>
      </c>
      <c r="G659">
        <v>27</v>
      </c>
    </row>
    <row r="660" spans="1:7" x14ac:dyDescent="0.3">
      <c r="A660">
        <v>659</v>
      </c>
      <c r="B660">
        <v>436</v>
      </c>
      <c r="C660" s="1">
        <v>45694</v>
      </c>
      <c r="D660" t="s">
        <v>15</v>
      </c>
      <c r="E660" t="s">
        <v>19</v>
      </c>
      <c r="F660" t="s">
        <v>29</v>
      </c>
      <c r="G660">
        <v>53</v>
      </c>
    </row>
    <row r="661" spans="1:7" x14ac:dyDescent="0.3">
      <c r="A661">
        <v>660</v>
      </c>
      <c r="B661">
        <v>436</v>
      </c>
      <c r="C661" s="1">
        <v>45694</v>
      </c>
      <c r="D661" t="s">
        <v>15</v>
      </c>
      <c r="E661" t="s">
        <v>19</v>
      </c>
      <c r="F661" t="s">
        <v>27</v>
      </c>
      <c r="G661">
        <v>5</v>
      </c>
    </row>
    <row r="662" spans="1:7" x14ac:dyDescent="0.3">
      <c r="A662">
        <v>661</v>
      </c>
      <c r="B662">
        <v>437</v>
      </c>
      <c r="C662" s="1">
        <v>45694</v>
      </c>
      <c r="D662" t="s">
        <v>20</v>
      </c>
      <c r="E662" t="s">
        <v>16</v>
      </c>
      <c r="F662" t="s">
        <v>25</v>
      </c>
      <c r="G662">
        <v>94</v>
      </c>
    </row>
    <row r="663" spans="1:7" x14ac:dyDescent="0.3">
      <c r="A663">
        <v>662</v>
      </c>
      <c r="B663">
        <v>438</v>
      </c>
      <c r="C663" s="1">
        <v>45694</v>
      </c>
      <c r="D663" t="s">
        <v>20</v>
      </c>
      <c r="E663" t="s">
        <v>17</v>
      </c>
      <c r="F663" t="s">
        <v>26</v>
      </c>
      <c r="G663">
        <v>5</v>
      </c>
    </row>
    <row r="664" spans="1:7" x14ac:dyDescent="0.3">
      <c r="A664">
        <v>663</v>
      </c>
      <c r="B664">
        <v>439</v>
      </c>
      <c r="C664" s="1">
        <v>45694</v>
      </c>
      <c r="D664" t="s">
        <v>20</v>
      </c>
      <c r="E664" t="s">
        <v>18</v>
      </c>
      <c r="F664" t="s">
        <v>25</v>
      </c>
      <c r="G664">
        <v>19</v>
      </c>
    </row>
    <row r="665" spans="1:7" x14ac:dyDescent="0.3">
      <c r="A665">
        <v>664</v>
      </c>
      <c r="B665">
        <v>439</v>
      </c>
      <c r="C665" s="1">
        <v>45694</v>
      </c>
      <c r="D665" t="s">
        <v>20</v>
      </c>
      <c r="E665" t="s">
        <v>18</v>
      </c>
      <c r="F665" t="s">
        <v>27</v>
      </c>
      <c r="G665">
        <v>5</v>
      </c>
    </row>
    <row r="666" spans="1:7" x14ac:dyDescent="0.3">
      <c r="A666">
        <v>665</v>
      </c>
      <c r="B666">
        <v>439</v>
      </c>
      <c r="C666" s="1">
        <v>45694</v>
      </c>
      <c r="D666" t="s">
        <v>20</v>
      </c>
      <c r="E666" t="s">
        <v>18</v>
      </c>
      <c r="F666" t="s">
        <v>27</v>
      </c>
      <c r="G666">
        <v>12</v>
      </c>
    </row>
    <row r="667" spans="1:7" x14ac:dyDescent="0.3">
      <c r="A667">
        <v>666</v>
      </c>
      <c r="B667">
        <v>440</v>
      </c>
      <c r="C667" s="1">
        <v>45694</v>
      </c>
      <c r="D667" t="s">
        <v>20</v>
      </c>
      <c r="E667" t="s">
        <v>19</v>
      </c>
      <c r="F667" t="s">
        <v>25</v>
      </c>
      <c r="G667">
        <v>48</v>
      </c>
    </row>
    <row r="668" spans="1:7" x14ac:dyDescent="0.3">
      <c r="A668">
        <v>667</v>
      </c>
      <c r="B668">
        <v>441</v>
      </c>
      <c r="C668" s="1">
        <v>45694</v>
      </c>
      <c r="D668" t="s">
        <v>21</v>
      </c>
      <c r="E668" t="s">
        <v>16</v>
      </c>
      <c r="F668" t="s">
        <v>30</v>
      </c>
      <c r="G668">
        <v>13</v>
      </c>
    </row>
    <row r="669" spans="1:7" x14ac:dyDescent="0.3">
      <c r="A669">
        <v>668</v>
      </c>
      <c r="B669">
        <v>441</v>
      </c>
      <c r="C669" s="1">
        <v>45694</v>
      </c>
      <c r="D669" t="s">
        <v>21</v>
      </c>
      <c r="E669" t="s">
        <v>16</v>
      </c>
      <c r="F669" t="s">
        <v>30</v>
      </c>
      <c r="G669">
        <v>20</v>
      </c>
    </row>
    <row r="670" spans="1:7" x14ac:dyDescent="0.3">
      <c r="A670">
        <v>669</v>
      </c>
      <c r="B670">
        <v>441</v>
      </c>
      <c r="C670" s="1">
        <v>45694</v>
      </c>
      <c r="D670" t="s">
        <v>21</v>
      </c>
      <c r="E670" t="s">
        <v>16</v>
      </c>
      <c r="F670" t="s">
        <v>30</v>
      </c>
      <c r="G670">
        <v>10</v>
      </c>
    </row>
    <row r="671" spans="1:7" x14ac:dyDescent="0.3">
      <c r="A671">
        <v>670</v>
      </c>
      <c r="B671">
        <v>442</v>
      </c>
      <c r="C671" s="1">
        <v>45694</v>
      </c>
      <c r="D671" t="s">
        <v>21</v>
      </c>
      <c r="E671" t="s">
        <v>17</v>
      </c>
      <c r="F671" t="s">
        <v>25</v>
      </c>
      <c r="G671">
        <v>99</v>
      </c>
    </row>
    <row r="672" spans="1:7" x14ac:dyDescent="0.3">
      <c r="A672">
        <v>671</v>
      </c>
      <c r="B672">
        <v>442</v>
      </c>
      <c r="C672" s="1">
        <v>45694</v>
      </c>
      <c r="D672" t="s">
        <v>21</v>
      </c>
      <c r="E672" t="s">
        <v>17</v>
      </c>
      <c r="F672" t="s">
        <v>26</v>
      </c>
      <c r="G672">
        <v>71</v>
      </c>
    </row>
    <row r="673" spans="1:7" x14ac:dyDescent="0.3">
      <c r="A673">
        <v>672</v>
      </c>
      <c r="B673">
        <v>443</v>
      </c>
      <c r="C673" s="1">
        <v>45694</v>
      </c>
      <c r="D673" t="s">
        <v>21</v>
      </c>
      <c r="E673" t="s">
        <v>18</v>
      </c>
      <c r="F673" t="s">
        <v>25</v>
      </c>
      <c r="G673">
        <v>28</v>
      </c>
    </row>
    <row r="674" spans="1:7" x14ac:dyDescent="0.3">
      <c r="A674">
        <v>673</v>
      </c>
      <c r="B674">
        <v>443</v>
      </c>
      <c r="C674" s="1">
        <v>45694</v>
      </c>
      <c r="D674" t="s">
        <v>21</v>
      </c>
      <c r="E674" t="s">
        <v>18</v>
      </c>
      <c r="F674" t="s">
        <v>26</v>
      </c>
      <c r="G674">
        <v>9</v>
      </c>
    </row>
    <row r="675" spans="1:7" x14ac:dyDescent="0.3">
      <c r="A675">
        <v>674</v>
      </c>
      <c r="B675">
        <v>443</v>
      </c>
      <c r="C675" s="1">
        <v>45694</v>
      </c>
      <c r="D675" t="s">
        <v>21</v>
      </c>
      <c r="E675" t="s">
        <v>18</v>
      </c>
      <c r="F675" t="s">
        <v>25</v>
      </c>
      <c r="G675">
        <v>16</v>
      </c>
    </row>
    <row r="676" spans="1:7" x14ac:dyDescent="0.3">
      <c r="A676">
        <v>675</v>
      </c>
      <c r="B676">
        <v>444</v>
      </c>
      <c r="C676" s="1">
        <v>45694</v>
      </c>
      <c r="D676" t="s">
        <v>21</v>
      </c>
      <c r="E676" t="s">
        <v>19</v>
      </c>
      <c r="F676" t="s">
        <v>25</v>
      </c>
      <c r="G676">
        <v>5</v>
      </c>
    </row>
    <row r="677" spans="1:7" x14ac:dyDescent="0.3">
      <c r="A677">
        <v>676</v>
      </c>
      <c r="B677">
        <v>444</v>
      </c>
      <c r="C677" s="1">
        <v>45694</v>
      </c>
      <c r="D677" t="s">
        <v>21</v>
      </c>
      <c r="E677" t="s">
        <v>19</v>
      </c>
      <c r="F677" t="s">
        <v>26</v>
      </c>
      <c r="G677">
        <v>14</v>
      </c>
    </row>
    <row r="678" spans="1:7" x14ac:dyDescent="0.3">
      <c r="A678">
        <v>677</v>
      </c>
      <c r="B678">
        <v>445</v>
      </c>
      <c r="C678" s="1">
        <v>45695</v>
      </c>
      <c r="D678" t="s">
        <v>15</v>
      </c>
      <c r="E678" t="s">
        <v>16</v>
      </c>
      <c r="F678" t="s">
        <v>26</v>
      </c>
      <c r="G678">
        <v>9</v>
      </c>
    </row>
    <row r="679" spans="1:7" x14ac:dyDescent="0.3">
      <c r="A679">
        <v>678</v>
      </c>
      <c r="B679">
        <v>446</v>
      </c>
      <c r="C679" s="1">
        <v>45695</v>
      </c>
      <c r="D679" t="s">
        <v>15</v>
      </c>
      <c r="E679" t="s">
        <v>17</v>
      </c>
      <c r="F679" t="s">
        <v>25</v>
      </c>
      <c r="G679">
        <v>53</v>
      </c>
    </row>
    <row r="680" spans="1:7" x14ac:dyDescent="0.3">
      <c r="A680">
        <v>679</v>
      </c>
      <c r="B680">
        <v>447</v>
      </c>
      <c r="C680" s="1">
        <v>45695</v>
      </c>
      <c r="D680" t="s">
        <v>15</v>
      </c>
      <c r="E680" t="s">
        <v>18</v>
      </c>
      <c r="F680" t="s">
        <v>30</v>
      </c>
      <c r="G680">
        <v>22</v>
      </c>
    </row>
    <row r="681" spans="1:7" x14ac:dyDescent="0.3">
      <c r="A681">
        <v>680</v>
      </c>
      <c r="B681">
        <v>449</v>
      </c>
      <c r="C681" s="1">
        <v>45695</v>
      </c>
      <c r="D681" t="s">
        <v>20</v>
      </c>
      <c r="E681" t="s">
        <v>16</v>
      </c>
      <c r="F681" t="s">
        <v>25</v>
      </c>
      <c r="G681">
        <v>5</v>
      </c>
    </row>
    <row r="682" spans="1:7" x14ac:dyDescent="0.3">
      <c r="A682">
        <v>681</v>
      </c>
      <c r="B682">
        <v>450</v>
      </c>
      <c r="C682" s="1">
        <v>45695</v>
      </c>
      <c r="D682" t="s">
        <v>20</v>
      </c>
      <c r="E682" t="s">
        <v>17</v>
      </c>
      <c r="F682" t="s">
        <v>26</v>
      </c>
      <c r="G682">
        <v>11</v>
      </c>
    </row>
    <row r="683" spans="1:7" x14ac:dyDescent="0.3">
      <c r="A683">
        <v>682</v>
      </c>
      <c r="B683">
        <v>451</v>
      </c>
      <c r="C683" s="1">
        <v>45695</v>
      </c>
      <c r="D683" t="s">
        <v>20</v>
      </c>
      <c r="E683" t="s">
        <v>18</v>
      </c>
      <c r="F683" t="s">
        <v>25</v>
      </c>
      <c r="G683">
        <v>38</v>
      </c>
    </row>
    <row r="684" spans="1:7" x14ac:dyDescent="0.3">
      <c r="A684">
        <v>683</v>
      </c>
      <c r="B684">
        <v>451</v>
      </c>
      <c r="C684" s="1">
        <v>45695</v>
      </c>
      <c r="D684" t="s">
        <v>20</v>
      </c>
      <c r="E684" t="s">
        <v>18</v>
      </c>
      <c r="F684" t="s">
        <v>25</v>
      </c>
      <c r="G684">
        <v>5</v>
      </c>
    </row>
    <row r="685" spans="1:7" x14ac:dyDescent="0.3">
      <c r="A685">
        <v>684</v>
      </c>
      <c r="B685">
        <v>451</v>
      </c>
      <c r="C685" s="1">
        <v>45695</v>
      </c>
      <c r="D685" t="s">
        <v>20</v>
      </c>
      <c r="E685" t="s">
        <v>18</v>
      </c>
      <c r="F685" t="s">
        <v>28</v>
      </c>
      <c r="G685">
        <v>23</v>
      </c>
    </row>
    <row r="686" spans="1:7" x14ac:dyDescent="0.3">
      <c r="A686">
        <v>685</v>
      </c>
      <c r="B686">
        <v>451</v>
      </c>
      <c r="C686" s="1">
        <v>45695</v>
      </c>
      <c r="D686" t="s">
        <v>20</v>
      </c>
      <c r="E686" t="s">
        <v>18</v>
      </c>
      <c r="F686" t="s">
        <v>26</v>
      </c>
      <c r="G686">
        <v>49</v>
      </c>
    </row>
    <row r="687" spans="1:7" x14ac:dyDescent="0.3">
      <c r="A687">
        <v>686</v>
      </c>
      <c r="B687">
        <v>452</v>
      </c>
      <c r="C687" s="1">
        <v>45695</v>
      </c>
      <c r="D687" t="s">
        <v>20</v>
      </c>
      <c r="E687" t="s">
        <v>19</v>
      </c>
      <c r="F687" t="s">
        <v>27</v>
      </c>
      <c r="G687">
        <v>5</v>
      </c>
    </row>
    <row r="688" spans="1:7" x14ac:dyDescent="0.3">
      <c r="A688">
        <v>687</v>
      </c>
      <c r="B688">
        <v>453</v>
      </c>
      <c r="C688" s="1">
        <v>45695</v>
      </c>
      <c r="D688" t="s">
        <v>21</v>
      </c>
      <c r="E688" t="s">
        <v>16</v>
      </c>
      <c r="F688" t="s">
        <v>26</v>
      </c>
      <c r="G688">
        <v>7</v>
      </c>
    </row>
    <row r="689" spans="1:7" x14ac:dyDescent="0.3">
      <c r="A689">
        <v>688</v>
      </c>
      <c r="B689">
        <v>453</v>
      </c>
      <c r="C689" s="1">
        <v>45695</v>
      </c>
      <c r="D689" t="s">
        <v>21</v>
      </c>
      <c r="E689" t="s">
        <v>16</v>
      </c>
      <c r="F689" t="s">
        <v>25</v>
      </c>
      <c r="G689">
        <v>65</v>
      </c>
    </row>
    <row r="690" spans="1:7" x14ac:dyDescent="0.3">
      <c r="A690">
        <v>689</v>
      </c>
      <c r="B690">
        <v>455</v>
      </c>
      <c r="C690" s="1">
        <v>45695</v>
      </c>
      <c r="D690" t="s">
        <v>21</v>
      </c>
      <c r="E690" t="s">
        <v>18</v>
      </c>
      <c r="F690" t="s">
        <v>27</v>
      </c>
      <c r="G690">
        <v>93</v>
      </c>
    </row>
    <row r="691" spans="1:7" x14ac:dyDescent="0.3">
      <c r="A691">
        <v>690</v>
      </c>
      <c r="B691">
        <v>455</v>
      </c>
      <c r="C691" s="1">
        <v>45695</v>
      </c>
      <c r="D691" t="s">
        <v>21</v>
      </c>
      <c r="E691" t="s">
        <v>18</v>
      </c>
      <c r="F691" t="s">
        <v>30</v>
      </c>
      <c r="G691">
        <v>8</v>
      </c>
    </row>
    <row r="692" spans="1:7" x14ac:dyDescent="0.3">
      <c r="A692">
        <v>691</v>
      </c>
      <c r="B692">
        <v>455</v>
      </c>
      <c r="C692" s="1">
        <v>45695</v>
      </c>
      <c r="D692" t="s">
        <v>21</v>
      </c>
      <c r="E692" t="s">
        <v>18</v>
      </c>
      <c r="F692" t="s">
        <v>26</v>
      </c>
      <c r="G692">
        <v>14</v>
      </c>
    </row>
    <row r="693" spans="1:7" x14ac:dyDescent="0.3">
      <c r="A693">
        <v>692</v>
      </c>
      <c r="B693">
        <v>456</v>
      </c>
      <c r="C693" s="1">
        <v>45695</v>
      </c>
      <c r="D693" t="s">
        <v>21</v>
      </c>
      <c r="E693" t="s">
        <v>19</v>
      </c>
      <c r="F693" t="s">
        <v>25</v>
      </c>
      <c r="G693">
        <v>244</v>
      </c>
    </row>
    <row r="694" spans="1:7" x14ac:dyDescent="0.3">
      <c r="A694">
        <v>693</v>
      </c>
      <c r="B694">
        <v>456</v>
      </c>
      <c r="C694" s="1">
        <v>45695</v>
      </c>
      <c r="D694" t="s">
        <v>21</v>
      </c>
      <c r="E694" t="s">
        <v>19</v>
      </c>
      <c r="F694" t="s">
        <v>28</v>
      </c>
      <c r="G694">
        <v>62</v>
      </c>
    </row>
    <row r="695" spans="1:7" x14ac:dyDescent="0.3">
      <c r="A695">
        <v>694</v>
      </c>
      <c r="B695">
        <v>456</v>
      </c>
      <c r="C695" s="1">
        <v>45695</v>
      </c>
      <c r="D695" t="s">
        <v>21</v>
      </c>
      <c r="E695" t="s">
        <v>19</v>
      </c>
      <c r="F695" t="s">
        <v>30</v>
      </c>
      <c r="G695">
        <v>18</v>
      </c>
    </row>
    <row r="696" spans="1:7" x14ac:dyDescent="0.3">
      <c r="A696">
        <v>695</v>
      </c>
      <c r="B696">
        <v>457</v>
      </c>
      <c r="C696" s="1">
        <v>45696</v>
      </c>
      <c r="D696" t="s">
        <v>15</v>
      </c>
      <c r="E696" t="s">
        <v>16</v>
      </c>
      <c r="F696" t="s">
        <v>27</v>
      </c>
      <c r="G696">
        <v>56</v>
      </c>
    </row>
    <row r="697" spans="1:7" x14ac:dyDescent="0.3">
      <c r="A697">
        <v>696</v>
      </c>
      <c r="B697">
        <v>457</v>
      </c>
      <c r="C697" s="1">
        <v>45696</v>
      </c>
      <c r="D697" t="s">
        <v>15</v>
      </c>
      <c r="E697" t="s">
        <v>16</v>
      </c>
      <c r="F697" t="s">
        <v>25</v>
      </c>
      <c r="G697">
        <v>31</v>
      </c>
    </row>
    <row r="698" spans="1:7" x14ac:dyDescent="0.3">
      <c r="A698">
        <v>697</v>
      </c>
      <c r="B698">
        <v>458</v>
      </c>
      <c r="C698" s="1">
        <v>45696</v>
      </c>
      <c r="D698" t="s">
        <v>15</v>
      </c>
      <c r="E698" t="s">
        <v>17</v>
      </c>
      <c r="F698" t="s">
        <v>25</v>
      </c>
      <c r="G698">
        <v>45</v>
      </c>
    </row>
    <row r="699" spans="1:7" x14ac:dyDescent="0.3">
      <c r="A699">
        <v>698</v>
      </c>
      <c r="B699">
        <v>459</v>
      </c>
      <c r="C699" s="1">
        <v>45696</v>
      </c>
      <c r="D699" t="s">
        <v>15</v>
      </c>
      <c r="E699" t="s">
        <v>18</v>
      </c>
      <c r="F699" t="s">
        <v>30</v>
      </c>
      <c r="G699">
        <v>5</v>
      </c>
    </row>
    <row r="700" spans="1:7" x14ac:dyDescent="0.3">
      <c r="A700">
        <v>699</v>
      </c>
      <c r="B700">
        <v>459</v>
      </c>
      <c r="C700" s="1">
        <v>45696</v>
      </c>
      <c r="D700" t="s">
        <v>15</v>
      </c>
      <c r="E700" t="s">
        <v>18</v>
      </c>
      <c r="F700" t="s">
        <v>25</v>
      </c>
      <c r="G700">
        <v>67</v>
      </c>
    </row>
    <row r="701" spans="1:7" x14ac:dyDescent="0.3">
      <c r="A701">
        <v>700</v>
      </c>
      <c r="B701">
        <v>460</v>
      </c>
      <c r="C701" s="1">
        <v>45696</v>
      </c>
      <c r="D701" t="s">
        <v>15</v>
      </c>
      <c r="E701" t="s">
        <v>19</v>
      </c>
      <c r="F701" t="s">
        <v>27</v>
      </c>
      <c r="G701">
        <v>5</v>
      </c>
    </row>
    <row r="702" spans="1:7" x14ac:dyDescent="0.3">
      <c r="A702">
        <v>701</v>
      </c>
      <c r="B702">
        <v>460</v>
      </c>
      <c r="C702" s="1">
        <v>45696</v>
      </c>
      <c r="D702" t="s">
        <v>15</v>
      </c>
      <c r="E702" t="s">
        <v>19</v>
      </c>
      <c r="F702" t="s">
        <v>27</v>
      </c>
      <c r="G702">
        <v>6</v>
      </c>
    </row>
    <row r="703" spans="1:7" x14ac:dyDescent="0.3">
      <c r="A703">
        <v>702</v>
      </c>
      <c r="B703">
        <v>460</v>
      </c>
      <c r="C703" s="1">
        <v>45696</v>
      </c>
      <c r="D703" t="s">
        <v>15</v>
      </c>
      <c r="E703" t="s">
        <v>19</v>
      </c>
      <c r="F703" t="s">
        <v>29</v>
      </c>
      <c r="G703">
        <v>21</v>
      </c>
    </row>
    <row r="704" spans="1:7" x14ac:dyDescent="0.3">
      <c r="A704">
        <v>703</v>
      </c>
      <c r="B704">
        <v>460</v>
      </c>
      <c r="C704" s="1">
        <v>45696</v>
      </c>
      <c r="D704" t="s">
        <v>15</v>
      </c>
      <c r="E704" t="s">
        <v>19</v>
      </c>
      <c r="F704" t="s">
        <v>27</v>
      </c>
      <c r="G704">
        <v>8</v>
      </c>
    </row>
    <row r="705" spans="1:7" x14ac:dyDescent="0.3">
      <c r="A705">
        <v>704</v>
      </c>
      <c r="B705">
        <v>461</v>
      </c>
      <c r="C705" s="1">
        <v>45696</v>
      </c>
      <c r="D705" t="s">
        <v>20</v>
      </c>
      <c r="E705" t="s">
        <v>16</v>
      </c>
      <c r="F705" t="s">
        <v>26</v>
      </c>
      <c r="G705">
        <v>63</v>
      </c>
    </row>
    <row r="706" spans="1:7" x14ac:dyDescent="0.3">
      <c r="A706">
        <v>705</v>
      </c>
      <c r="B706">
        <v>464</v>
      </c>
      <c r="C706" s="1">
        <v>45696</v>
      </c>
      <c r="D706" t="s">
        <v>20</v>
      </c>
      <c r="E706" t="s">
        <v>19</v>
      </c>
      <c r="F706" t="s">
        <v>29</v>
      </c>
      <c r="G706">
        <v>24</v>
      </c>
    </row>
    <row r="707" spans="1:7" x14ac:dyDescent="0.3">
      <c r="A707">
        <v>706</v>
      </c>
      <c r="B707">
        <v>464</v>
      </c>
      <c r="C707" s="1">
        <v>45696</v>
      </c>
      <c r="D707" t="s">
        <v>20</v>
      </c>
      <c r="E707" t="s">
        <v>19</v>
      </c>
      <c r="F707" t="s">
        <v>28</v>
      </c>
      <c r="G707">
        <v>37</v>
      </c>
    </row>
    <row r="708" spans="1:7" x14ac:dyDescent="0.3">
      <c r="A708">
        <v>707</v>
      </c>
      <c r="B708">
        <v>465</v>
      </c>
      <c r="C708" s="1">
        <v>45696</v>
      </c>
      <c r="D708" t="s">
        <v>21</v>
      </c>
      <c r="E708" t="s">
        <v>16</v>
      </c>
      <c r="F708" t="s">
        <v>28</v>
      </c>
      <c r="G708">
        <v>101</v>
      </c>
    </row>
    <row r="709" spans="1:7" x14ac:dyDescent="0.3">
      <c r="A709">
        <v>708</v>
      </c>
      <c r="B709">
        <v>468</v>
      </c>
      <c r="C709" s="1">
        <v>45696</v>
      </c>
      <c r="D709" t="s">
        <v>21</v>
      </c>
      <c r="E709" t="s">
        <v>19</v>
      </c>
      <c r="F709" t="s">
        <v>25</v>
      </c>
      <c r="G709">
        <v>7</v>
      </c>
    </row>
    <row r="710" spans="1:7" x14ac:dyDescent="0.3">
      <c r="A710">
        <v>709</v>
      </c>
      <c r="B710">
        <v>469</v>
      </c>
      <c r="C710" s="1">
        <v>45697</v>
      </c>
      <c r="D710" t="s">
        <v>15</v>
      </c>
      <c r="E710" t="s">
        <v>16</v>
      </c>
      <c r="F710" t="s">
        <v>30</v>
      </c>
      <c r="G710">
        <v>5</v>
      </c>
    </row>
    <row r="711" spans="1:7" x14ac:dyDescent="0.3">
      <c r="A711">
        <v>710</v>
      </c>
      <c r="B711">
        <v>469</v>
      </c>
      <c r="C711" s="1">
        <v>45697</v>
      </c>
      <c r="D711" t="s">
        <v>15</v>
      </c>
      <c r="E711" t="s">
        <v>16</v>
      </c>
      <c r="F711" t="s">
        <v>25</v>
      </c>
      <c r="G711">
        <v>11</v>
      </c>
    </row>
    <row r="712" spans="1:7" x14ac:dyDescent="0.3">
      <c r="A712">
        <v>711</v>
      </c>
      <c r="B712">
        <v>470</v>
      </c>
      <c r="C712" s="1">
        <v>45697</v>
      </c>
      <c r="D712" t="s">
        <v>15</v>
      </c>
      <c r="E712" t="s">
        <v>17</v>
      </c>
      <c r="F712" t="s">
        <v>25</v>
      </c>
      <c r="G712">
        <v>74</v>
      </c>
    </row>
    <row r="713" spans="1:7" x14ac:dyDescent="0.3">
      <c r="A713">
        <v>712</v>
      </c>
      <c r="B713">
        <v>470</v>
      </c>
      <c r="C713" s="1">
        <v>45697</v>
      </c>
      <c r="D713" t="s">
        <v>15</v>
      </c>
      <c r="E713" t="s">
        <v>17</v>
      </c>
      <c r="F713" t="s">
        <v>25</v>
      </c>
      <c r="G713">
        <v>18</v>
      </c>
    </row>
    <row r="714" spans="1:7" x14ac:dyDescent="0.3">
      <c r="A714">
        <v>713</v>
      </c>
      <c r="B714">
        <v>472</v>
      </c>
      <c r="C714" s="1">
        <v>45697</v>
      </c>
      <c r="D714" t="s">
        <v>15</v>
      </c>
      <c r="E714" t="s">
        <v>19</v>
      </c>
      <c r="F714" t="s">
        <v>27</v>
      </c>
      <c r="G714">
        <v>14</v>
      </c>
    </row>
    <row r="715" spans="1:7" x14ac:dyDescent="0.3">
      <c r="A715">
        <v>714</v>
      </c>
      <c r="B715">
        <v>472</v>
      </c>
      <c r="C715" s="1">
        <v>45697</v>
      </c>
      <c r="D715" t="s">
        <v>15</v>
      </c>
      <c r="E715" t="s">
        <v>19</v>
      </c>
      <c r="F715" t="s">
        <v>25</v>
      </c>
      <c r="G715">
        <v>44</v>
      </c>
    </row>
    <row r="716" spans="1:7" x14ac:dyDescent="0.3">
      <c r="A716">
        <v>715</v>
      </c>
      <c r="B716">
        <v>474</v>
      </c>
      <c r="C716" s="1">
        <v>45697</v>
      </c>
      <c r="D716" t="s">
        <v>20</v>
      </c>
      <c r="E716" t="s">
        <v>17</v>
      </c>
      <c r="F716" t="s">
        <v>27</v>
      </c>
      <c r="G716">
        <v>12</v>
      </c>
    </row>
    <row r="717" spans="1:7" x14ac:dyDescent="0.3">
      <c r="A717">
        <v>716</v>
      </c>
      <c r="B717">
        <v>475</v>
      </c>
      <c r="C717" s="1">
        <v>45697</v>
      </c>
      <c r="D717" t="s">
        <v>20</v>
      </c>
      <c r="E717" t="s">
        <v>18</v>
      </c>
      <c r="F717" t="s">
        <v>27</v>
      </c>
      <c r="G717">
        <v>36</v>
      </c>
    </row>
    <row r="718" spans="1:7" x14ac:dyDescent="0.3">
      <c r="A718">
        <v>717</v>
      </c>
      <c r="B718">
        <v>475</v>
      </c>
      <c r="C718" s="1">
        <v>45697</v>
      </c>
      <c r="D718" t="s">
        <v>20</v>
      </c>
      <c r="E718" t="s">
        <v>18</v>
      </c>
      <c r="F718" t="s">
        <v>28</v>
      </c>
      <c r="G718">
        <v>132</v>
      </c>
    </row>
    <row r="719" spans="1:7" x14ac:dyDescent="0.3">
      <c r="A719">
        <v>718</v>
      </c>
      <c r="B719">
        <v>475</v>
      </c>
      <c r="C719" s="1">
        <v>45697</v>
      </c>
      <c r="D719" t="s">
        <v>20</v>
      </c>
      <c r="E719" t="s">
        <v>18</v>
      </c>
      <c r="F719" t="s">
        <v>27</v>
      </c>
      <c r="G719">
        <v>5</v>
      </c>
    </row>
    <row r="720" spans="1:7" x14ac:dyDescent="0.3">
      <c r="A720">
        <v>719</v>
      </c>
      <c r="B720">
        <v>476</v>
      </c>
      <c r="C720" s="1">
        <v>45697</v>
      </c>
      <c r="D720" t="s">
        <v>20</v>
      </c>
      <c r="E720" t="s">
        <v>19</v>
      </c>
      <c r="F720" t="s">
        <v>27</v>
      </c>
      <c r="G720">
        <v>39</v>
      </c>
    </row>
    <row r="721" spans="1:7" x14ac:dyDescent="0.3">
      <c r="A721">
        <v>720</v>
      </c>
      <c r="B721">
        <v>476</v>
      </c>
      <c r="C721" s="1">
        <v>45697</v>
      </c>
      <c r="D721" t="s">
        <v>20</v>
      </c>
      <c r="E721" t="s">
        <v>19</v>
      </c>
      <c r="F721" t="s">
        <v>27</v>
      </c>
      <c r="G721">
        <v>7</v>
      </c>
    </row>
    <row r="722" spans="1:7" x14ac:dyDescent="0.3">
      <c r="A722">
        <v>721</v>
      </c>
      <c r="B722">
        <v>479</v>
      </c>
      <c r="C722" s="1">
        <v>45697</v>
      </c>
      <c r="D722" t="s">
        <v>21</v>
      </c>
      <c r="E722" t="s">
        <v>18</v>
      </c>
      <c r="F722" t="s">
        <v>27</v>
      </c>
      <c r="G722">
        <v>9</v>
      </c>
    </row>
    <row r="723" spans="1:7" x14ac:dyDescent="0.3">
      <c r="A723">
        <v>722</v>
      </c>
      <c r="B723">
        <v>479</v>
      </c>
      <c r="C723" s="1">
        <v>45697</v>
      </c>
      <c r="D723" t="s">
        <v>21</v>
      </c>
      <c r="E723" t="s">
        <v>18</v>
      </c>
      <c r="F723" t="s">
        <v>26</v>
      </c>
      <c r="G723">
        <v>5</v>
      </c>
    </row>
    <row r="724" spans="1:7" x14ac:dyDescent="0.3">
      <c r="A724">
        <v>723</v>
      </c>
      <c r="B724">
        <v>480</v>
      </c>
      <c r="C724" s="1">
        <v>45697</v>
      </c>
      <c r="D724" t="s">
        <v>21</v>
      </c>
      <c r="E724" t="s">
        <v>19</v>
      </c>
      <c r="F724" t="s">
        <v>25</v>
      </c>
      <c r="G724">
        <v>78</v>
      </c>
    </row>
    <row r="725" spans="1:7" x14ac:dyDescent="0.3">
      <c r="A725">
        <v>724</v>
      </c>
      <c r="B725">
        <v>481</v>
      </c>
      <c r="C725" s="1">
        <v>45698</v>
      </c>
      <c r="D725" t="s">
        <v>15</v>
      </c>
      <c r="E725" t="s">
        <v>16</v>
      </c>
      <c r="F725" t="s">
        <v>27</v>
      </c>
      <c r="G725">
        <v>31</v>
      </c>
    </row>
    <row r="726" spans="1:7" x14ac:dyDescent="0.3">
      <c r="A726">
        <v>725</v>
      </c>
      <c r="B726">
        <v>481</v>
      </c>
      <c r="C726" s="1">
        <v>45698</v>
      </c>
      <c r="D726" t="s">
        <v>15</v>
      </c>
      <c r="E726" t="s">
        <v>16</v>
      </c>
      <c r="F726" t="s">
        <v>27</v>
      </c>
      <c r="G726">
        <v>5</v>
      </c>
    </row>
    <row r="727" spans="1:7" x14ac:dyDescent="0.3">
      <c r="A727">
        <v>726</v>
      </c>
      <c r="B727">
        <v>482</v>
      </c>
      <c r="C727" s="1">
        <v>45698</v>
      </c>
      <c r="D727" t="s">
        <v>15</v>
      </c>
      <c r="E727" t="s">
        <v>17</v>
      </c>
      <c r="F727" t="s">
        <v>26</v>
      </c>
      <c r="G727">
        <v>7</v>
      </c>
    </row>
    <row r="728" spans="1:7" x14ac:dyDescent="0.3">
      <c r="A728">
        <v>727</v>
      </c>
      <c r="B728">
        <v>483</v>
      </c>
      <c r="C728" s="1">
        <v>45698</v>
      </c>
      <c r="D728" t="s">
        <v>15</v>
      </c>
      <c r="E728" t="s">
        <v>18</v>
      </c>
      <c r="F728" t="s">
        <v>25</v>
      </c>
      <c r="G728">
        <v>92</v>
      </c>
    </row>
    <row r="729" spans="1:7" x14ac:dyDescent="0.3">
      <c r="A729">
        <v>728</v>
      </c>
      <c r="B729">
        <v>484</v>
      </c>
      <c r="C729" s="1">
        <v>45698</v>
      </c>
      <c r="D729" t="s">
        <v>15</v>
      </c>
      <c r="E729" t="s">
        <v>19</v>
      </c>
      <c r="F729" t="s">
        <v>27</v>
      </c>
      <c r="G729">
        <v>8</v>
      </c>
    </row>
    <row r="730" spans="1:7" x14ac:dyDescent="0.3">
      <c r="A730">
        <v>729</v>
      </c>
      <c r="B730">
        <v>485</v>
      </c>
      <c r="C730" s="1">
        <v>45698</v>
      </c>
      <c r="D730" t="s">
        <v>20</v>
      </c>
      <c r="E730" t="s">
        <v>16</v>
      </c>
      <c r="F730" t="s">
        <v>25</v>
      </c>
      <c r="G730">
        <v>10</v>
      </c>
    </row>
    <row r="731" spans="1:7" x14ac:dyDescent="0.3">
      <c r="A731">
        <v>730</v>
      </c>
      <c r="B731">
        <v>486</v>
      </c>
      <c r="C731" s="1">
        <v>45698</v>
      </c>
      <c r="D731" t="s">
        <v>20</v>
      </c>
      <c r="E731" t="s">
        <v>17</v>
      </c>
      <c r="F731" t="s">
        <v>30</v>
      </c>
      <c r="G731">
        <v>5</v>
      </c>
    </row>
    <row r="732" spans="1:7" x14ac:dyDescent="0.3">
      <c r="A732">
        <v>731</v>
      </c>
      <c r="B732">
        <v>487</v>
      </c>
      <c r="C732" s="1">
        <v>45698</v>
      </c>
      <c r="D732" t="s">
        <v>20</v>
      </c>
      <c r="E732" t="s">
        <v>18</v>
      </c>
      <c r="F732" t="s">
        <v>30</v>
      </c>
      <c r="G732">
        <v>5</v>
      </c>
    </row>
    <row r="733" spans="1:7" x14ac:dyDescent="0.3">
      <c r="A733">
        <v>732</v>
      </c>
      <c r="B733">
        <v>487</v>
      </c>
      <c r="C733" s="1">
        <v>45698</v>
      </c>
      <c r="D733" t="s">
        <v>20</v>
      </c>
      <c r="E733" t="s">
        <v>18</v>
      </c>
      <c r="F733" t="s">
        <v>25</v>
      </c>
      <c r="G733">
        <v>10</v>
      </c>
    </row>
    <row r="734" spans="1:7" x14ac:dyDescent="0.3">
      <c r="A734">
        <v>733</v>
      </c>
      <c r="B734">
        <v>487</v>
      </c>
      <c r="C734" s="1">
        <v>45698</v>
      </c>
      <c r="D734" t="s">
        <v>20</v>
      </c>
      <c r="E734" t="s">
        <v>18</v>
      </c>
      <c r="F734" t="s">
        <v>25</v>
      </c>
      <c r="G734">
        <v>32</v>
      </c>
    </row>
    <row r="735" spans="1:7" x14ac:dyDescent="0.3">
      <c r="A735">
        <v>734</v>
      </c>
      <c r="B735">
        <v>488</v>
      </c>
      <c r="C735" s="1">
        <v>45698</v>
      </c>
      <c r="D735" t="s">
        <v>20</v>
      </c>
      <c r="E735" t="s">
        <v>19</v>
      </c>
      <c r="F735" t="s">
        <v>25</v>
      </c>
      <c r="G735">
        <v>36</v>
      </c>
    </row>
    <row r="736" spans="1:7" x14ac:dyDescent="0.3">
      <c r="A736">
        <v>735</v>
      </c>
      <c r="B736">
        <v>488</v>
      </c>
      <c r="C736" s="1">
        <v>45698</v>
      </c>
      <c r="D736" t="s">
        <v>20</v>
      </c>
      <c r="E736" t="s">
        <v>19</v>
      </c>
      <c r="F736" t="s">
        <v>27</v>
      </c>
      <c r="G736">
        <v>36</v>
      </c>
    </row>
    <row r="737" spans="1:7" x14ac:dyDescent="0.3">
      <c r="A737">
        <v>736</v>
      </c>
      <c r="B737">
        <v>489</v>
      </c>
      <c r="C737" s="1">
        <v>45698</v>
      </c>
      <c r="D737" t="s">
        <v>21</v>
      </c>
      <c r="E737" t="s">
        <v>16</v>
      </c>
      <c r="F737" t="s">
        <v>25</v>
      </c>
      <c r="G737">
        <v>58</v>
      </c>
    </row>
    <row r="738" spans="1:7" x14ac:dyDescent="0.3">
      <c r="A738">
        <v>737</v>
      </c>
      <c r="B738">
        <v>490</v>
      </c>
      <c r="C738" s="1">
        <v>45698</v>
      </c>
      <c r="D738" t="s">
        <v>21</v>
      </c>
      <c r="E738" t="s">
        <v>17</v>
      </c>
      <c r="F738" t="s">
        <v>27</v>
      </c>
      <c r="G738">
        <v>32</v>
      </c>
    </row>
    <row r="739" spans="1:7" x14ac:dyDescent="0.3">
      <c r="A739">
        <v>738</v>
      </c>
      <c r="B739">
        <v>492</v>
      </c>
      <c r="C739" s="1">
        <v>45698</v>
      </c>
      <c r="D739" t="s">
        <v>21</v>
      </c>
      <c r="E739" t="s">
        <v>19</v>
      </c>
      <c r="F739" t="s">
        <v>25</v>
      </c>
      <c r="G739">
        <v>5</v>
      </c>
    </row>
    <row r="740" spans="1:7" x14ac:dyDescent="0.3">
      <c r="A740">
        <v>739</v>
      </c>
      <c r="B740">
        <v>492</v>
      </c>
      <c r="C740" s="1">
        <v>45698</v>
      </c>
      <c r="D740" t="s">
        <v>21</v>
      </c>
      <c r="E740" t="s">
        <v>19</v>
      </c>
      <c r="F740" t="s">
        <v>30</v>
      </c>
      <c r="G740">
        <v>11</v>
      </c>
    </row>
    <row r="741" spans="1:7" x14ac:dyDescent="0.3">
      <c r="A741">
        <v>740</v>
      </c>
      <c r="B741">
        <v>492</v>
      </c>
      <c r="C741" s="1">
        <v>45698</v>
      </c>
      <c r="D741" t="s">
        <v>21</v>
      </c>
      <c r="E741" t="s">
        <v>19</v>
      </c>
      <c r="F741" t="s">
        <v>30</v>
      </c>
      <c r="G741">
        <v>5</v>
      </c>
    </row>
    <row r="742" spans="1:7" x14ac:dyDescent="0.3">
      <c r="A742">
        <v>741</v>
      </c>
      <c r="B742">
        <v>493</v>
      </c>
      <c r="C742" s="1">
        <v>45699</v>
      </c>
      <c r="D742" t="s">
        <v>15</v>
      </c>
      <c r="E742" t="s">
        <v>16</v>
      </c>
      <c r="F742" t="s">
        <v>26</v>
      </c>
      <c r="G742">
        <v>34</v>
      </c>
    </row>
    <row r="743" spans="1:7" x14ac:dyDescent="0.3">
      <c r="A743">
        <v>742</v>
      </c>
      <c r="B743">
        <v>493</v>
      </c>
      <c r="C743" s="1">
        <v>45699</v>
      </c>
      <c r="D743" t="s">
        <v>15</v>
      </c>
      <c r="E743" t="s">
        <v>16</v>
      </c>
      <c r="F743" t="s">
        <v>25</v>
      </c>
      <c r="G743">
        <v>84</v>
      </c>
    </row>
    <row r="744" spans="1:7" x14ac:dyDescent="0.3">
      <c r="A744">
        <v>743</v>
      </c>
      <c r="B744">
        <v>493</v>
      </c>
      <c r="C744" s="1">
        <v>45699</v>
      </c>
      <c r="D744" t="s">
        <v>15</v>
      </c>
      <c r="E744" t="s">
        <v>16</v>
      </c>
      <c r="F744" t="s">
        <v>28</v>
      </c>
      <c r="G744">
        <v>129</v>
      </c>
    </row>
    <row r="745" spans="1:7" x14ac:dyDescent="0.3">
      <c r="A745">
        <v>744</v>
      </c>
      <c r="B745">
        <v>494</v>
      </c>
      <c r="C745" s="1">
        <v>45699</v>
      </c>
      <c r="D745" t="s">
        <v>15</v>
      </c>
      <c r="E745" t="s">
        <v>17</v>
      </c>
      <c r="F745" t="s">
        <v>26</v>
      </c>
      <c r="G745">
        <v>36</v>
      </c>
    </row>
    <row r="746" spans="1:7" x14ac:dyDescent="0.3">
      <c r="A746">
        <v>745</v>
      </c>
      <c r="B746">
        <v>494</v>
      </c>
      <c r="C746" s="1">
        <v>45699</v>
      </c>
      <c r="D746" t="s">
        <v>15</v>
      </c>
      <c r="E746" t="s">
        <v>17</v>
      </c>
      <c r="F746" t="s">
        <v>26</v>
      </c>
      <c r="G746">
        <v>138</v>
      </c>
    </row>
    <row r="747" spans="1:7" x14ac:dyDescent="0.3">
      <c r="A747">
        <v>746</v>
      </c>
      <c r="B747">
        <v>496</v>
      </c>
      <c r="C747" s="1">
        <v>45699</v>
      </c>
      <c r="D747" t="s">
        <v>15</v>
      </c>
      <c r="E747" t="s">
        <v>19</v>
      </c>
      <c r="F747" t="s">
        <v>27</v>
      </c>
      <c r="G747">
        <v>52</v>
      </c>
    </row>
    <row r="748" spans="1:7" x14ac:dyDescent="0.3">
      <c r="A748">
        <v>747</v>
      </c>
      <c r="B748">
        <v>496</v>
      </c>
      <c r="C748" s="1">
        <v>45699</v>
      </c>
      <c r="D748" t="s">
        <v>15</v>
      </c>
      <c r="E748" t="s">
        <v>19</v>
      </c>
      <c r="F748" t="s">
        <v>25</v>
      </c>
      <c r="G748">
        <v>5</v>
      </c>
    </row>
    <row r="749" spans="1:7" x14ac:dyDescent="0.3">
      <c r="A749">
        <v>748</v>
      </c>
      <c r="B749">
        <v>496</v>
      </c>
      <c r="C749" s="1">
        <v>45699</v>
      </c>
      <c r="D749" t="s">
        <v>15</v>
      </c>
      <c r="E749" t="s">
        <v>19</v>
      </c>
      <c r="F749" t="s">
        <v>25</v>
      </c>
      <c r="G749">
        <v>40</v>
      </c>
    </row>
    <row r="750" spans="1:7" x14ac:dyDescent="0.3">
      <c r="A750">
        <v>749</v>
      </c>
      <c r="B750">
        <v>497</v>
      </c>
      <c r="C750" s="1">
        <v>45699</v>
      </c>
      <c r="D750" t="s">
        <v>20</v>
      </c>
      <c r="E750" t="s">
        <v>16</v>
      </c>
      <c r="F750" t="s">
        <v>27</v>
      </c>
      <c r="G750">
        <v>21</v>
      </c>
    </row>
    <row r="751" spans="1:7" x14ac:dyDescent="0.3">
      <c r="A751">
        <v>750</v>
      </c>
      <c r="B751">
        <v>497</v>
      </c>
      <c r="C751" s="1">
        <v>45699</v>
      </c>
      <c r="D751" t="s">
        <v>20</v>
      </c>
      <c r="E751" t="s">
        <v>16</v>
      </c>
      <c r="F751" t="s">
        <v>30</v>
      </c>
      <c r="G751">
        <v>21</v>
      </c>
    </row>
    <row r="752" spans="1:7" x14ac:dyDescent="0.3">
      <c r="A752">
        <v>751</v>
      </c>
      <c r="B752">
        <v>498</v>
      </c>
      <c r="C752" s="1">
        <v>45699</v>
      </c>
      <c r="D752" t="s">
        <v>20</v>
      </c>
      <c r="E752" t="s">
        <v>17</v>
      </c>
      <c r="F752" t="s">
        <v>25</v>
      </c>
      <c r="G752">
        <v>10</v>
      </c>
    </row>
    <row r="753" spans="1:7" x14ac:dyDescent="0.3">
      <c r="A753">
        <v>752</v>
      </c>
      <c r="B753">
        <v>498</v>
      </c>
      <c r="C753" s="1">
        <v>45699</v>
      </c>
      <c r="D753" t="s">
        <v>20</v>
      </c>
      <c r="E753" t="s">
        <v>17</v>
      </c>
      <c r="F753" t="s">
        <v>26</v>
      </c>
      <c r="G753">
        <v>15</v>
      </c>
    </row>
    <row r="754" spans="1:7" x14ac:dyDescent="0.3">
      <c r="A754">
        <v>753</v>
      </c>
      <c r="B754">
        <v>499</v>
      </c>
      <c r="C754" s="1">
        <v>45699</v>
      </c>
      <c r="D754" t="s">
        <v>20</v>
      </c>
      <c r="E754" t="s">
        <v>18</v>
      </c>
      <c r="F754" t="s">
        <v>25</v>
      </c>
      <c r="G754">
        <v>9</v>
      </c>
    </row>
    <row r="755" spans="1:7" x14ac:dyDescent="0.3">
      <c r="A755">
        <v>754</v>
      </c>
      <c r="B755">
        <v>499</v>
      </c>
      <c r="C755" s="1">
        <v>45699</v>
      </c>
      <c r="D755" t="s">
        <v>20</v>
      </c>
      <c r="E755" t="s">
        <v>18</v>
      </c>
      <c r="F755" t="s">
        <v>25</v>
      </c>
      <c r="G755">
        <v>18</v>
      </c>
    </row>
    <row r="756" spans="1:7" x14ac:dyDescent="0.3">
      <c r="A756">
        <v>755</v>
      </c>
      <c r="B756">
        <v>499</v>
      </c>
      <c r="C756" s="1">
        <v>45699</v>
      </c>
      <c r="D756" t="s">
        <v>20</v>
      </c>
      <c r="E756" t="s">
        <v>18</v>
      </c>
      <c r="F756" t="s">
        <v>27</v>
      </c>
      <c r="G756">
        <v>35</v>
      </c>
    </row>
    <row r="757" spans="1:7" x14ac:dyDescent="0.3">
      <c r="A757">
        <v>756</v>
      </c>
      <c r="B757">
        <v>500</v>
      </c>
      <c r="C757" s="1">
        <v>45699</v>
      </c>
      <c r="D757" t="s">
        <v>20</v>
      </c>
      <c r="E757" t="s">
        <v>19</v>
      </c>
      <c r="F757" t="s">
        <v>27</v>
      </c>
      <c r="G757">
        <v>7</v>
      </c>
    </row>
    <row r="758" spans="1:7" x14ac:dyDescent="0.3">
      <c r="A758">
        <v>757</v>
      </c>
      <c r="B758">
        <v>502</v>
      </c>
      <c r="C758" s="1">
        <v>45699</v>
      </c>
      <c r="D758" t="s">
        <v>21</v>
      </c>
      <c r="E758" t="s">
        <v>17</v>
      </c>
      <c r="F758" t="s">
        <v>28</v>
      </c>
      <c r="G758">
        <v>103</v>
      </c>
    </row>
    <row r="759" spans="1:7" x14ac:dyDescent="0.3">
      <c r="A759">
        <v>758</v>
      </c>
      <c r="B759">
        <v>502</v>
      </c>
      <c r="C759" s="1">
        <v>45699</v>
      </c>
      <c r="D759" t="s">
        <v>21</v>
      </c>
      <c r="E759" t="s">
        <v>17</v>
      </c>
      <c r="F759" t="s">
        <v>27</v>
      </c>
      <c r="G759">
        <v>21</v>
      </c>
    </row>
    <row r="760" spans="1:7" x14ac:dyDescent="0.3">
      <c r="A760">
        <v>759</v>
      </c>
      <c r="B760">
        <v>502</v>
      </c>
      <c r="C760" s="1">
        <v>45699</v>
      </c>
      <c r="D760" t="s">
        <v>21</v>
      </c>
      <c r="E760" t="s">
        <v>17</v>
      </c>
      <c r="F760" t="s">
        <v>29</v>
      </c>
      <c r="G760">
        <v>12</v>
      </c>
    </row>
    <row r="761" spans="1:7" x14ac:dyDescent="0.3">
      <c r="A761">
        <v>760</v>
      </c>
      <c r="B761">
        <v>503</v>
      </c>
      <c r="C761" s="1">
        <v>45699</v>
      </c>
      <c r="D761" t="s">
        <v>21</v>
      </c>
      <c r="E761" t="s">
        <v>18</v>
      </c>
      <c r="F761" t="s">
        <v>27</v>
      </c>
      <c r="G761">
        <v>12</v>
      </c>
    </row>
    <row r="762" spans="1:7" x14ac:dyDescent="0.3">
      <c r="A762">
        <v>761</v>
      </c>
      <c r="B762">
        <v>503</v>
      </c>
      <c r="C762" s="1">
        <v>45699</v>
      </c>
      <c r="D762" t="s">
        <v>21</v>
      </c>
      <c r="E762" t="s">
        <v>18</v>
      </c>
      <c r="F762" t="s">
        <v>25</v>
      </c>
      <c r="G762">
        <v>177</v>
      </c>
    </row>
    <row r="763" spans="1:7" x14ac:dyDescent="0.3">
      <c r="A763">
        <v>762</v>
      </c>
      <c r="B763">
        <v>504</v>
      </c>
      <c r="C763" s="1">
        <v>45699</v>
      </c>
      <c r="D763" t="s">
        <v>21</v>
      </c>
      <c r="E763" t="s">
        <v>19</v>
      </c>
      <c r="F763" t="s">
        <v>26</v>
      </c>
      <c r="G763">
        <v>22</v>
      </c>
    </row>
    <row r="764" spans="1:7" x14ac:dyDescent="0.3">
      <c r="A764">
        <v>763</v>
      </c>
      <c r="B764">
        <v>504</v>
      </c>
      <c r="C764" s="1">
        <v>45699</v>
      </c>
      <c r="D764" t="s">
        <v>21</v>
      </c>
      <c r="E764" t="s">
        <v>19</v>
      </c>
      <c r="F764" t="s">
        <v>25</v>
      </c>
      <c r="G764">
        <v>8</v>
      </c>
    </row>
    <row r="765" spans="1:7" x14ac:dyDescent="0.3">
      <c r="A765">
        <v>764</v>
      </c>
      <c r="B765">
        <v>505</v>
      </c>
      <c r="C765" s="1">
        <v>45700</v>
      </c>
      <c r="D765" t="s">
        <v>15</v>
      </c>
      <c r="E765" t="s">
        <v>16</v>
      </c>
      <c r="F765" t="s">
        <v>28</v>
      </c>
      <c r="G765">
        <v>33</v>
      </c>
    </row>
    <row r="766" spans="1:7" x14ac:dyDescent="0.3">
      <c r="A766">
        <v>765</v>
      </c>
      <c r="B766">
        <v>505</v>
      </c>
      <c r="C766" s="1">
        <v>45700</v>
      </c>
      <c r="D766" t="s">
        <v>15</v>
      </c>
      <c r="E766" t="s">
        <v>16</v>
      </c>
      <c r="F766" t="s">
        <v>25</v>
      </c>
      <c r="G766">
        <v>5</v>
      </c>
    </row>
    <row r="767" spans="1:7" x14ac:dyDescent="0.3">
      <c r="A767">
        <v>766</v>
      </c>
      <c r="B767">
        <v>505</v>
      </c>
      <c r="C767" s="1">
        <v>45700</v>
      </c>
      <c r="D767" t="s">
        <v>15</v>
      </c>
      <c r="E767" t="s">
        <v>16</v>
      </c>
      <c r="F767" t="s">
        <v>25</v>
      </c>
      <c r="G767">
        <v>52</v>
      </c>
    </row>
    <row r="768" spans="1:7" x14ac:dyDescent="0.3">
      <c r="A768">
        <v>767</v>
      </c>
      <c r="B768">
        <v>506</v>
      </c>
      <c r="C768" s="1">
        <v>45700</v>
      </c>
      <c r="D768" t="s">
        <v>15</v>
      </c>
      <c r="E768" t="s">
        <v>17</v>
      </c>
      <c r="F768" t="s">
        <v>27</v>
      </c>
      <c r="G768">
        <v>8</v>
      </c>
    </row>
    <row r="769" spans="1:7" x14ac:dyDescent="0.3">
      <c r="A769">
        <v>768</v>
      </c>
      <c r="B769">
        <v>507</v>
      </c>
      <c r="C769" s="1">
        <v>45700</v>
      </c>
      <c r="D769" t="s">
        <v>15</v>
      </c>
      <c r="E769" t="s">
        <v>18</v>
      </c>
      <c r="F769" t="s">
        <v>27</v>
      </c>
      <c r="G769">
        <v>32</v>
      </c>
    </row>
    <row r="770" spans="1:7" x14ac:dyDescent="0.3">
      <c r="A770">
        <v>769</v>
      </c>
      <c r="B770">
        <v>509</v>
      </c>
      <c r="C770" s="1">
        <v>45700</v>
      </c>
      <c r="D770" t="s">
        <v>20</v>
      </c>
      <c r="E770" t="s">
        <v>16</v>
      </c>
      <c r="F770" t="s">
        <v>27</v>
      </c>
      <c r="G770">
        <v>33</v>
      </c>
    </row>
    <row r="771" spans="1:7" x14ac:dyDescent="0.3">
      <c r="A771">
        <v>770</v>
      </c>
      <c r="B771">
        <v>510</v>
      </c>
      <c r="C771" s="1">
        <v>45700</v>
      </c>
      <c r="D771" t="s">
        <v>20</v>
      </c>
      <c r="E771" t="s">
        <v>17</v>
      </c>
      <c r="F771" t="s">
        <v>28</v>
      </c>
      <c r="G771">
        <v>7</v>
      </c>
    </row>
    <row r="772" spans="1:7" x14ac:dyDescent="0.3">
      <c r="A772">
        <v>771</v>
      </c>
      <c r="B772">
        <v>511</v>
      </c>
      <c r="C772" s="1">
        <v>45700</v>
      </c>
      <c r="D772" t="s">
        <v>20</v>
      </c>
      <c r="E772" t="s">
        <v>18</v>
      </c>
      <c r="F772" t="s">
        <v>27</v>
      </c>
      <c r="G772">
        <v>10</v>
      </c>
    </row>
    <row r="773" spans="1:7" x14ac:dyDescent="0.3">
      <c r="A773">
        <v>772</v>
      </c>
      <c r="B773">
        <v>512</v>
      </c>
      <c r="C773" s="1">
        <v>45700</v>
      </c>
      <c r="D773" t="s">
        <v>20</v>
      </c>
      <c r="E773" t="s">
        <v>19</v>
      </c>
      <c r="F773" t="s">
        <v>27</v>
      </c>
      <c r="G773">
        <v>5</v>
      </c>
    </row>
    <row r="774" spans="1:7" x14ac:dyDescent="0.3">
      <c r="A774">
        <v>773</v>
      </c>
      <c r="B774">
        <v>512</v>
      </c>
      <c r="C774" s="1">
        <v>45700</v>
      </c>
      <c r="D774" t="s">
        <v>20</v>
      </c>
      <c r="E774" t="s">
        <v>19</v>
      </c>
      <c r="F774" t="s">
        <v>26</v>
      </c>
      <c r="G774">
        <v>83</v>
      </c>
    </row>
    <row r="775" spans="1:7" x14ac:dyDescent="0.3">
      <c r="A775">
        <v>774</v>
      </c>
      <c r="B775">
        <v>512</v>
      </c>
      <c r="C775" s="1">
        <v>45700</v>
      </c>
      <c r="D775" t="s">
        <v>20</v>
      </c>
      <c r="E775" t="s">
        <v>19</v>
      </c>
      <c r="F775" t="s">
        <v>26</v>
      </c>
      <c r="G775">
        <v>5</v>
      </c>
    </row>
    <row r="776" spans="1:7" x14ac:dyDescent="0.3">
      <c r="A776">
        <v>775</v>
      </c>
      <c r="B776">
        <v>513</v>
      </c>
      <c r="C776" s="1">
        <v>45700</v>
      </c>
      <c r="D776" t="s">
        <v>21</v>
      </c>
      <c r="E776" t="s">
        <v>16</v>
      </c>
      <c r="F776" t="s">
        <v>27</v>
      </c>
      <c r="G776">
        <v>5</v>
      </c>
    </row>
    <row r="777" spans="1:7" x14ac:dyDescent="0.3">
      <c r="A777">
        <v>776</v>
      </c>
      <c r="B777">
        <v>513</v>
      </c>
      <c r="C777" s="1">
        <v>45700</v>
      </c>
      <c r="D777" t="s">
        <v>21</v>
      </c>
      <c r="E777" t="s">
        <v>16</v>
      </c>
      <c r="F777" t="s">
        <v>25</v>
      </c>
      <c r="G777">
        <v>19</v>
      </c>
    </row>
    <row r="778" spans="1:7" x14ac:dyDescent="0.3">
      <c r="A778">
        <v>777</v>
      </c>
      <c r="B778">
        <v>513</v>
      </c>
      <c r="C778" s="1">
        <v>45700</v>
      </c>
      <c r="D778" t="s">
        <v>21</v>
      </c>
      <c r="E778" t="s">
        <v>16</v>
      </c>
      <c r="F778" t="s">
        <v>27</v>
      </c>
      <c r="G778">
        <v>22</v>
      </c>
    </row>
    <row r="779" spans="1:7" x14ac:dyDescent="0.3">
      <c r="A779">
        <v>778</v>
      </c>
      <c r="B779">
        <v>514</v>
      </c>
      <c r="C779" s="1">
        <v>45700</v>
      </c>
      <c r="D779" t="s">
        <v>21</v>
      </c>
      <c r="E779" t="s">
        <v>17</v>
      </c>
      <c r="F779" t="s">
        <v>25</v>
      </c>
      <c r="G779">
        <v>79</v>
      </c>
    </row>
    <row r="780" spans="1:7" x14ac:dyDescent="0.3">
      <c r="A780">
        <v>779</v>
      </c>
      <c r="B780">
        <v>516</v>
      </c>
      <c r="C780" s="1">
        <v>45700</v>
      </c>
      <c r="D780" t="s">
        <v>21</v>
      </c>
      <c r="E780" t="s">
        <v>19</v>
      </c>
      <c r="F780" t="s">
        <v>26</v>
      </c>
      <c r="G780">
        <v>95</v>
      </c>
    </row>
    <row r="781" spans="1:7" x14ac:dyDescent="0.3">
      <c r="A781">
        <v>780</v>
      </c>
      <c r="B781">
        <v>517</v>
      </c>
      <c r="C781" s="1">
        <v>45701</v>
      </c>
      <c r="D781" t="s">
        <v>15</v>
      </c>
      <c r="E781" t="s">
        <v>16</v>
      </c>
      <c r="F781" t="s">
        <v>30</v>
      </c>
      <c r="G781">
        <v>11</v>
      </c>
    </row>
    <row r="782" spans="1:7" x14ac:dyDescent="0.3">
      <c r="A782">
        <v>781</v>
      </c>
      <c r="B782">
        <v>517</v>
      </c>
      <c r="C782" s="1">
        <v>45701</v>
      </c>
      <c r="D782" t="s">
        <v>15</v>
      </c>
      <c r="E782" t="s">
        <v>16</v>
      </c>
      <c r="F782" t="s">
        <v>26</v>
      </c>
      <c r="G782">
        <v>16</v>
      </c>
    </row>
    <row r="783" spans="1:7" x14ac:dyDescent="0.3">
      <c r="A783">
        <v>782</v>
      </c>
      <c r="B783">
        <v>517</v>
      </c>
      <c r="C783" s="1">
        <v>45701</v>
      </c>
      <c r="D783" t="s">
        <v>15</v>
      </c>
      <c r="E783" t="s">
        <v>16</v>
      </c>
      <c r="F783" t="s">
        <v>26</v>
      </c>
      <c r="G783">
        <v>52</v>
      </c>
    </row>
    <row r="784" spans="1:7" x14ac:dyDescent="0.3">
      <c r="A784">
        <v>783</v>
      </c>
      <c r="B784">
        <v>517</v>
      </c>
      <c r="C784" s="1">
        <v>45701</v>
      </c>
      <c r="D784" t="s">
        <v>15</v>
      </c>
      <c r="E784" t="s">
        <v>16</v>
      </c>
      <c r="F784" t="s">
        <v>25</v>
      </c>
      <c r="G784">
        <v>80</v>
      </c>
    </row>
    <row r="785" spans="1:7" x14ac:dyDescent="0.3">
      <c r="A785">
        <v>784</v>
      </c>
      <c r="B785">
        <v>518</v>
      </c>
      <c r="C785" s="1">
        <v>45701</v>
      </c>
      <c r="D785" t="s">
        <v>15</v>
      </c>
      <c r="E785" t="s">
        <v>17</v>
      </c>
      <c r="F785" t="s">
        <v>29</v>
      </c>
      <c r="G785">
        <v>7</v>
      </c>
    </row>
    <row r="786" spans="1:7" x14ac:dyDescent="0.3">
      <c r="A786">
        <v>785</v>
      </c>
      <c r="B786">
        <v>519</v>
      </c>
      <c r="C786" s="1">
        <v>45701</v>
      </c>
      <c r="D786" t="s">
        <v>15</v>
      </c>
      <c r="E786" t="s">
        <v>18</v>
      </c>
      <c r="F786" t="s">
        <v>27</v>
      </c>
      <c r="G786">
        <v>7</v>
      </c>
    </row>
    <row r="787" spans="1:7" x14ac:dyDescent="0.3">
      <c r="A787">
        <v>786</v>
      </c>
      <c r="B787">
        <v>521</v>
      </c>
      <c r="C787" s="1">
        <v>45701</v>
      </c>
      <c r="D787" t="s">
        <v>20</v>
      </c>
      <c r="E787" t="s">
        <v>16</v>
      </c>
      <c r="F787" t="s">
        <v>26</v>
      </c>
      <c r="G787">
        <v>49</v>
      </c>
    </row>
    <row r="788" spans="1:7" x14ac:dyDescent="0.3">
      <c r="A788">
        <v>787</v>
      </c>
      <c r="B788">
        <v>521</v>
      </c>
      <c r="C788" s="1">
        <v>45701</v>
      </c>
      <c r="D788" t="s">
        <v>20</v>
      </c>
      <c r="E788" t="s">
        <v>16</v>
      </c>
      <c r="F788" t="s">
        <v>28</v>
      </c>
      <c r="G788">
        <v>30</v>
      </c>
    </row>
    <row r="789" spans="1:7" x14ac:dyDescent="0.3">
      <c r="A789">
        <v>788</v>
      </c>
      <c r="B789">
        <v>522</v>
      </c>
      <c r="C789" s="1">
        <v>45701</v>
      </c>
      <c r="D789" t="s">
        <v>20</v>
      </c>
      <c r="E789" t="s">
        <v>17</v>
      </c>
      <c r="F789" t="s">
        <v>26</v>
      </c>
      <c r="G789">
        <v>32</v>
      </c>
    </row>
    <row r="790" spans="1:7" x14ac:dyDescent="0.3">
      <c r="A790">
        <v>789</v>
      </c>
      <c r="B790">
        <v>523</v>
      </c>
      <c r="C790" s="1">
        <v>45701</v>
      </c>
      <c r="D790" t="s">
        <v>20</v>
      </c>
      <c r="E790" t="s">
        <v>18</v>
      </c>
      <c r="F790" t="s">
        <v>26</v>
      </c>
      <c r="G790">
        <v>7</v>
      </c>
    </row>
    <row r="791" spans="1:7" x14ac:dyDescent="0.3">
      <c r="A791">
        <v>790</v>
      </c>
      <c r="B791">
        <v>524</v>
      </c>
      <c r="C791" s="1">
        <v>45701</v>
      </c>
      <c r="D791" t="s">
        <v>20</v>
      </c>
      <c r="E791" t="s">
        <v>19</v>
      </c>
      <c r="F791" t="s">
        <v>25</v>
      </c>
      <c r="G791">
        <v>24</v>
      </c>
    </row>
    <row r="792" spans="1:7" x14ac:dyDescent="0.3">
      <c r="A792">
        <v>791</v>
      </c>
      <c r="B792">
        <v>528</v>
      </c>
      <c r="C792" s="1">
        <v>45701</v>
      </c>
      <c r="D792" t="s">
        <v>21</v>
      </c>
      <c r="E792" t="s">
        <v>19</v>
      </c>
      <c r="F792" t="s">
        <v>25</v>
      </c>
      <c r="G792">
        <v>91</v>
      </c>
    </row>
    <row r="793" spans="1:7" x14ac:dyDescent="0.3">
      <c r="A793">
        <v>792</v>
      </c>
      <c r="B793">
        <v>528</v>
      </c>
      <c r="C793" s="1">
        <v>45701</v>
      </c>
      <c r="D793" t="s">
        <v>21</v>
      </c>
      <c r="E793" t="s">
        <v>19</v>
      </c>
      <c r="F793" t="s">
        <v>29</v>
      </c>
      <c r="G793">
        <v>13</v>
      </c>
    </row>
    <row r="794" spans="1:7" x14ac:dyDescent="0.3">
      <c r="A794">
        <v>793</v>
      </c>
      <c r="B794">
        <v>529</v>
      </c>
      <c r="C794" s="1">
        <v>45702</v>
      </c>
      <c r="D794" t="s">
        <v>15</v>
      </c>
      <c r="E794" t="s">
        <v>16</v>
      </c>
      <c r="F794" t="s">
        <v>27</v>
      </c>
      <c r="G794">
        <v>5</v>
      </c>
    </row>
    <row r="795" spans="1:7" x14ac:dyDescent="0.3">
      <c r="A795">
        <v>794</v>
      </c>
      <c r="B795">
        <v>529</v>
      </c>
      <c r="C795" s="1">
        <v>45702</v>
      </c>
      <c r="D795" t="s">
        <v>15</v>
      </c>
      <c r="E795" t="s">
        <v>16</v>
      </c>
      <c r="F795" t="s">
        <v>30</v>
      </c>
      <c r="G795">
        <v>5</v>
      </c>
    </row>
    <row r="796" spans="1:7" x14ac:dyDescent="0.3">
      <c r="A796">
        <v>795</v>
      </c>
      <c r="B796">
        <v>530</v>
      </c>
      <c r="C796" s="1">
        <v>45702</v>
      </c>
      <c r="D796" t="s">
        <v>15</v>
      </c>
      <c r="E796" t="s">
        <v>17</v>
      </c>
      <c r="F796" t="s">
        <v>25</v>
      </c>
      <c r="G796">
        <v>55</v>
      </c>
    </row>
    <row r="797" spans="1:7" x14ac:dyDescent="0.3">
      <c r="A797">
        <v>796</v>
      </c>
      <c r="B797">
        <v>530</v>
      </c>
      <c r="C797" s="1">
        <v>45702</v>
      </c>
      <c r="D797" t="s">
        <v>15</v>
      </c>
      <c r="E797" t="s">
        <v>17</v>
      </c>
      <c r="F797" t="s">
        <v>25</v>
      </c>
      <c r="G797">
        <v>105</v>
      </c>
    </row>
    <row r="798" spans="1:7" x14ac:dyDescent="0.3">
      <c r="A798">
        <v>797</v>
      </c>
      <c r="B798">
        <v>532</v>
      </c>
      <c r="C798" s="1">
        <v>45702</v>
      </c>
      <c r="D798" t="s">
        <v>15</v>
      </c>
      <c r="E798" t="s">
        <v>19</v>
      </c>
      <c r="F798" t="s">
        <v>25</v>
      </c>
      <c r="G798">
        <v>76</v>
      </c>
    </row>
    <row r="799" spans="1:7" x14ac:dyDescent="0.3">
      <c r="A799">
        <v>798</v>
      </c>
      <c r="B799">
        <v>533</v>
      </c>
      <c r="C799" s="1">
        <v>45702</v>
      </c>
      <c r="D799" t="s">
        <v>20</v>
      </c>
      <c r="E799" t="s">
        <v>16</v>
      </c>
      <c r="F799" t="s">
        <v>29</v>
      </c>
      <c r="G799">
        <v>5</v>
      </c>
    </row>
    <row r="800" spans="1:7" x14ac:dyDescent="0.3">
      <c r="A800">
        <v>799</v>
      </c>
      <c r="B800">
        <v>535</v>
      </c>
      <c r="C800" s="1">
        <v>45702</v>
      </c>
      <c r="D800" t="s">
        <v>20</v>
      </c>
      <c r="E800" t="s">
        <v>18</v>
      </c>
      <c r="F800" t="s">
        <v>27</v>
      </c>
      <c r="G800">
        <v>5</v>
      </c>
    </row>
    <row r="801" spans="1:7" x14ac:dyDescent="0.3">
      <c r="A801">
        <v>800</v>
      </c>
      <c r="B801">
        <v>536</v>
      </c>
      <c r="C801" s="1">
        <v>45702</v>
      </c>
      <c r="D801" t="s">
        <v>20</v>
      </c>
      <c r="E801" t="s">
        <v>19</v>
      </c>
      <c r="F801" t="s">
        <v>25</v>
      </c>
      <c r="G801">
        <v>14</v>
      </c>
    </row>
    <row r="802" spans="1:7" x14ac:dyDescent="0.3">
      <c r="A802">
        <v>801</v>
      </c>
      <c r="B802">
        <v>537</v>
      </c>
      <c r="C802" s="1">
        <v>45702</v>
      </c>
      <c r="D802" t="s">
        <v>21</v>
      </c>
      <c r="E802" t="s">
        <v>16</v>
      </c>
      <c r="F802" t="s">
        <v>25</v>
      </c>
      <c r="G802">
        <v>22</v>
      </c>
    </row>
    <row r="803" spans="1:7" x14ac:dyDescent="0.3">
      <c r="A803">
        <v>802</v>
      </c>
      <c r="B803">
        <v>538</v>
      </c>
      <c r="C803" s="1">
        <v>45702</v>
      </c>
      <c r="D803" t="s">
        <v>21</v>
      </c>
      <c r="E803" t="s">
        <v>17</v>
      </c>
      <c r="F803" t="s">
        <v>29</v>
      </c>
      <c r="G803">
        <v>56</v>
      </c>
    </row>
    <row r="804" spans="1:7" x14ac:dyDescent="0.3">
      <c r="A804">
        <v>803</v>
      </c>
      <c r="B804">
        <v>539</v>
      </c>
      <c r="C804" s="1">
        <v>45702</v>
      </c>
      <c r="D804" t="s">
        <v>21</v>
      </c>
      <c r="E804" t="s">
        <v>18</v>
      </c>
      <c r="F804" t="s">
        <v>26</v>
      </c>
      <c r="G804">
        <v>52</v>
      </c>
    </row>
    <row r="805" spans="1:7" x14ac:dyDescent="0.3">
      <c r="A805">
        <v>804</v>
      </c>
      <c r="B805">
        <v>540</v>
      </c>
      <c r="C805" s="1">
        <v>45702</v>
      </c>
      <c r="D805" t="s">
        <v>21</v>
      </c>
      <c r="E805" t="s">
        <v>19</v>
      </c>
      <c r="F805" t="s">
        <v>26</v>
      </c>
      <c r="G805">
        <v>13</v>
      </c>
    </row>
    <row r="806" spans="1:7" x14ac:dyDescent="0.3">
      <c r="A806">
        <v>805</v>
      </c>
      <c r="B806">
        <v>542</v>
      </c>
      <c r="C806" s="1">
        <v>45703</v>
      </c>
      <c r="D806" t="s">
        <v>15</v>
      </c>
      <c r="E806" t="s">
        <v>17</v>
      </c>
      <c r="F806" t="s">
        <v>27</v>
      </c>
      <c r="G806">
        <v>19</v>
      </c>
    </row>
    <row r="807" spans="1:7" x14ac:dyDescent="0.3">
      <c r="A807">
        <v>806</v>
      </c>
      <c r="B807">
        <v>542</v>
      </c>
      <c r="C807" s="1">
        <v>45703</v>
      </c>
      <c r="D807" t="s">
        <v>15</v>
      </c>
      <c r="E807" t="s">
        <v>17</v>
      </c>
      <c r="F807" t="s">
        <v>27</v>
      </c>
      <c r="G807">
        <v>11</v>
      </c>
    </row>
    <row r="808" spans="1:7" x14ac:dyDescent="0.3">
      <c r="A808">
        <v>807</v>
      </c>
      <c r="B808">
        <v>542</v>
      </c>
      <c r="C808" s="1">
        <v>45703</v>
      </c>
      <c r="D808" t="s">
        <v>15</v>
      </c>
      <c r="E808" t="s">
        <v>17</v>
      </c>
      <c r="F808" t="s">
        <v>25</v>
      </c>
      <c r="G808">
        <v>37</v>
      </c>
    </row>
    <row r="809" spans="1:7" x14ac:dyDescent="0.3">
      <c r="A809">
        <v>808</v>
      </c>
      <c r="B809">
        <v>542</v>
      </c>
      <c r="C809" s="1">
        <v>45703</v>
      </c>
      <c r="D809" t="s">
        <v>15</v>
      </c>
      <c r="E809" t="s">
        <v>17</v>
      </c>
      <c r="F809" t="s">
        <v>29</v>
      </c>
      <c r="G809">
        <v>5</v>
      </c>
    </row>
    <row r="810" spans="1:7" x14ac:dyDescent="0.3">
      <c r="A810">
        <v>809</v>
      </c>
      <c r="B810">
        <v>542</v>
      </c>
      <c r="C810" s="1">
        <v>45703</v>
      </c>
      <c r="D810" t="s">
        <v>15</v>
      </c>
      <c r="E810" t="s">
        <v>17</v>
      </c>
      <c r="F810" t="s">
        <v>28</v>
      </c>
      <c r="G810">
        <v>70</v>
      </c>
    </row>
    <row r="811" spans="1:7" x14ac:dyDescent="0.3">
      <c r="A811">
        <v>810</v>
      </c>
      <c r="B811">
        <v>542</v>
      </c>
      <c r="C811" s="1">
        <v>45703</v>
      </c>
      <c r="D811" t="s">
        <v>15</v>
      </c>
      <c r="E811" t="s">
        <v>17</v>
      </c>
      <c r="F811" t="s">
        <v>30</v>
      </c>
      <c r="G811">
        <v>12</v>
      </c>
    </row>
    <row r="812" spans="1:7" x14ac:dyDescent="0.3">
      <c r="A812">
        <v>811</v>
      </c>
      <c r="B812">
        <v>543</v>
      </c>
      <c r="C812" s="1">
        <v>45703</v>
      </c>
      <c r="D812" t="s">
        <v>15</v>
      </c>
      <c r="E812" t="s">
        <v>18</v>
      </c>
      <c r="F812" t="s">
        <v>29</v>
      </c>
      <c r="G812">
        <v>120</v>
      </c>
    </row>
    <row r="813" spans="1:7" x14ac:dyDescent="0.3">
      <c r="A813">
        <v>812</v>
      </c>
      <c r="B813">
        <v>544</v>
      </c>
      <c r="C813" s="1">
        <v>45703</v>
      </c>
      <c r="D813" t="s">
        <v>15</v>
      </c>
      <c r="E813" t="s">
        <v>19</v>
      </c>
      <c r="F813" t="s">
        <v>29</v>
      </c>
      <c r="G813">
        <v>5</v>
      </c>
    </row>
    <row r="814" spans="1:7" x14ac:dyDescent="0.3">
      <c r="A814">
        <v>813</v>
      </c>
      <c r="B814">
        <v>545</v>
      </c>
      <c r="C814" s="1">
        <v>45703</v>
      </c>
      <c r="D814" t="s">
        <v>20</v>
      </c>
      <c r="E814" t="s">
        <v>16</v>
      </c>
      <c r="F814" t="s">
        <v>26</v>
      </c>
      <c r="G814">
        <v>27</v>
      </c>
    </row>
    <row r="815" spans="1:7" x14ac:dyDescent="0.3">
      <c r="A815">
        <v>814</v>
      </c>
      <c r="B815">
        <v>545</v>
      </c>
      <c r="C815" s="1">
        <v>45703</v>
      </c>
      <c r="D815" t="s">
        <v>20</v>
      </c>
      <c r="E815" t="s">
        <v>16</v>
      </c>
      <c r="F815" t="s">
        <v>26</v>
      </c>
      <c r="G815">
        <v>34</v>
      </c>
    </row>
    <row r="816" spans="1:7" x14ac:dyDescent="0.3">
      <c r="A816">
        <v>815</v>
      </c>
      <c r="B816">
        <v>546</v>
      </c>
      <c r="C816" s="1">
        <v>45703</v>
      </c>
      <c r="D816" t="s">
        <v>20</v>
      </c>
      <c r="E816" t="s">
        <v>17</v>
      </c>
      <c r="F816" t="s">
        <v>25</v>
      </c>
      <c r="G816">
        <v>53</v>
      </c>
    </row>
    <row r="817" spans="1:7" x14ac:dyDescent="0.3">
      <c r="A817">
        <v>816</v>
      </c>
      <c r="B817">
        <v>547</v>
      </c>
      <c r="C817" s="1">
        <v>45703</v>
      </c>
      <c r="D817" t="s">
        <v>20</v>
      </c>
      <c r="E817" t="s">
        <v>18</v>
      </c>
      <c r="F817" t="s">
        <v>25</v>
      </c>
      <c r="G817">
        <v>6</v>
      </c>
    </row>
    <row r="818" spans="1:7" x14ac:dyDescent="0.3">
      <c r="A818">
        <v>817</v>
      </c>
      <c r="B818">
        <v>549</v>
      </c>
      <c r="C818" s="1">
        <v>45703</v>
      </c>
      <c r="D818" t="s">
        <v>21</v>
      </c>
      <c r="E818" t="s">
        <v>16</v>
      </c>
      <c r="F818" t="s">
        <v>27</v>
      </c>
      <c r="G818">
        <v>5</v>
      </c>
    </row>
    <row r="819" spans="1:7" x14ac:dyDescent="0.3">
      <c r="A819">
        <v>818</v>
      </c>
      <c r="B819">
        <v>549</v>
      </c>
      <c r="C819" s="1">
        <v>45703</v>
      </c>
      <c r="D819" t="s">
        <v>21</v>
      </c>
      <c r="E819" t="s">
        <v>16</v>
      </c>
      <c r="F819" t="s">
        <v>25</v>
      </c>
      <c r="G819">
        <v>13</v>
      </c>
    </row>
    <row r="820" spans="1:7" x14ac:dyDescent="0.3">
      <c r="A820">
        <v>819</v>
      </c>
      <c r="B820">
        <v>550</v>
      </c>
      <c r="C820" s="1">
        <v>45703</v>
      </c>
      <c r="D820" t="s">
        <v>21</v>
      </c>
      <c r="E820" t="s">
        <v>17</v>
      </c>
      <c r="F820" t="s">
        <v>25</v>
      </c>
      <c r="G820">
        <v>49</v>
      </c>
    </row>
    <row r="821" spans="1:7" x14ac:dyDescent="0.3">
      <c r="A821">
        <v>820</v>
      </c>
      <c r="B821">
        <v>550</v>
      </c>
      <c r="C821" s="1">
        <v>45703</v>
      </c>
      <c r="D821" t="s">
        <v>21</v>
      </c>
      <c r="E821" t="s">
        <v>17</v>
      </c>
      <c r="F821" t="s">
        <v>28</v>
      </c>
      <c r="G821">
        <v>5</v>
      </c>
    </row>
    <row r="822" spans="1:7" x14ac:dyDescent="0.3">
      <c r="A822">
        <v>821</v>
      </c>
      <c r="B822">
        <v>551</v>
      </c>
      <c r="C822" s="1">
        <v>45703</v>
      </c>
      <c r="D822" t="s">
        <v>21</v>
      </c>
      <c r="E822" t="s">
        <v>18</v>
      </c>
      <c r="F822" t="s">
        <v>25</v>
      </c>
      <c r="G822">
        <v>41</v>
      </c>
    </row>
    <row r="823" spans="1:7" x14ac:dyDescent="0.3">
      <c r="A823">
        <v>822</v>
      </c>
      <c r="B823">
        <v>551</v>
      </c>
      <c r="C823" s="1">
        <v>45703</v>
      </c>
      <c r="D823" t="s">
        <v>21</v>
      </c>
      <c r="E823" t="s">
        <v>18</v>
      </c>
      <c r="F823" t="s">
        <v>25</v>
      </c>
      <c r="G823">
        <v>112</v>
      </c>
    </row>
    <row r="824" spans="1:7" x14ac:dyDescent="0.3">
      <c r="A824">
        <v>823</v>
      </c>
      <c r="B824">
        <v>552</v>
      </c>
      <c r="C824" s="1">
        <v>45703</v>
      </c>
      <c r="D824" t="s">
        <v>21</v>
      </c>
      <c r="E824" t="s">
        <v>19</v>
      </c>
      <c r="F824" t="s">
        <v>27</v>
      </c>
      <c r="G824">
        <v>23</v>
      </c>
    </row>
    <row r="825" spans="1:7" x14ac:dyDescent="0.3">
      <c r="A825">
        <v>824</v>
      </c>
      <c r="B825">
        <v>553</v>
      </c>
      <c r="C825" s="1">
        <v>45704</v>
      </c>
      <c r="D825" t="s">
        <v>15</v>
      </c>
      <c r="E825" t="s">
        <v>16</v>
      </c>
      <c r="F825" t="s">
        <v>25</v>
      </c>
      <c r="G825">
        <v>14</v>
      </c>
    </row>
    <row r="826" spans="1:7" x14ac:dyDescent="0.3">
      <c r="A826">
        <v>825</v>
      </c>
      <c r="B826">
        <v>553</v>
      </c>
      <c r="C826" s="1">
        <v>45704</v>
      </c>
      <c r="D826" t="s">
        <v>15</v>
      </c>
      <c r="E826" t="s">
        <v>16</v>
      </c>
      <c r="F826" t="s">
        <v>25</v>
      </c>
      <c r="G826">
        <v>48</v>
      </c>
    </row>
    <row r="827" spans="1:7" x14ac:dyDescent="0.3">
      <c r="A827">
        <v>826</v>
      </c>
      <c r="B827">
        <v>553</v>
      </c>
      <c r="C827" s="1">
        <v>45704</v>
      </c>
      <c r="D827" t="s">
        <v>15</v>
      </c>
      <c r="E827" t="s">
        <v>16</v>
      </c>
      <c r="F827" t="s">
        <v>26</v>
      </c>
      <c r="G827">
        <v>27</v>
      </c>
    </row>
    <row r="828" spans="1:7" x14ac:dyDescent="0.3">
      <c r="A828">
        <v>827</v>
      </c>
      <c r="B828">
        <v>554</v>
      </c>
      <c r="C828" s="1">
        <v>45704</v>
      </c>
      <c r="D828" t="s">
        <v>15</v>
      </c>
      <c r="E828" t="s">
        <v>17</v>
      </c>
      <c r="F828" t="s">
        <v>27</v>
      </c>
      <c r="G828">
        <v>8</v>
      </c>
    </row>
    <row r="829" spans="1:7" x14ac:dyDescent="0.3">
      <c r="A829">
        <v>828</v>
      </c>
      <c r="B829">
        <v>555</v>
      </c>
      <c r="C829" s="1">
        <v>45704</v>
      </c>
      <c r="D829" t="s">
        <v>15</v>
      </c>
      <c r="E829" t="s">
        <v>18</v>
      </c>
      <c r="F829" t="s">
        <v>27</v>
      </c>
      <c r="G829">
        <v>26</v>
      </c>
    </row>
    <row r="830" spans="1:7" x14ac:dyDescent="0.3">
      <c r="A830">
        <v>829</v>
      </c>
      <c r="B830">
        <v>555</v>
      </c>
      <c r="C830" s="1">
        <v>45704</v>
      </c>
      <c r="D830" t="s">
        <v>15</v>
      </c>
      <c r="E830" t="s">
        <v>18</v>
      </c>
      <c r="F830" t="s">
        <v>30</v>
      </c>
      <c r="G830">
        <v>5</v>
      </c>
    </row>
    <row r="831" spans="1:7" x14ac:dyDescent="0.3">
      <c r="A831">
        <v>830</v>
      </c>
      <c r="B831">
        <v>555</v>
      </c>
      <c r="C831" s="1">
        <v>45704</v>
      </c>
      <c r="D831" t="s">
        <v>15</v>
      </c>
      <c r="E831" t="s">
        <v>18</v>
      </c>
      <c r="F831" t="s">
        <v>25</v>
      </c>
      <c r="G831">
        <v>56</v>
      </c>
    </row>
    <row r="832" spans="1:7" x14ac:dyDescent="0.3">
      <c r="A832">
        <v>831</v>
      </c>
      <c r="B832">
        <v>557</v>
      </c>
      <c r="C832" s="1">
        <v>45704</v>
      </c>
      <c r="D832" t="s">
        <v>20</v>
      </c>
      <c r="E832" t="s">
        <v>16</v>
      </c>
      <c r="F832" t="s">
        <v>27</v>
      </c>
      <c r="G832">
        <v>9</v>
      </c>
    </row>
    <row r="833" spans="1:7" x14ac:dyDescent="0.3">
      <c r="A833">
        <v>832</v>
      </c>
      <c r="B833">
        <v>557</v>
      </c>
      <c r="C833" s="1">
        <v>45704</v>
      </c>
      <c r="D833" t="s">
        <v>20</v>
      </c>
      <c r="E833" t="s">
        <v>16</v>
      </c>
      <c r="F833" t="s">
        <v>26</v>
      </c>
      <c r="G833">
        <v>14</v>
      </c>
    </row>
    <row r="834" spans="1:7" x14ac:dyDescent="0.3">
      <c r="A834">
        <v>833</v>
      </c>
      <c r="B834">
        <v>557</v>
      </c>
      <c r="C834" s="1">
        <v>45704</v>
      </c>
      <c r="D834" t="s">
        <v>20</v>
      </c>
      <c r="E834" t="s">
        <v>16</v>
      </c>
      <c r="F834" t="s">
        <v>25</v>
      </c>
      <c r="G834">
        <v>5</v>
      </c>
    </row>
    <row r="835" spans="1:7" x14ac:dyDescent="0.3">
      <c r="A835">
        <v>834</v>
      </c>
      <c r="B835">
        <v>559</v>
      </c>
      <c r="C835" s="1">
        <v>45704</v>
      </c>
      <c r="D835" t="s">
        <v>20</v>
      </c>
      <c r="E835" t="s">
        <v>18</v>
      </c>
      <c r="F835" t="s">
        <v>25</v>
      </c>
      <c r="G835">
        <v>16</v>
      </c>
    </row>
    <row r="836" spans="1:7" x14ac:dyDescent="0.3">
      <c r="A836">
        <v>835</v>
      </c>
      <c r="B836">
        <v>559</v>
      </c>
      <c r="C836" s="1">
        <v>45704</v>
      </c>
      <c r="D836" t="s">
        <v>20</v>
      </c>
      <c r="E836" t="s">
        <v>18</v>
      </c>
      <c r="F836" t="s">
        <v>27</v>
      </c>
      <c r="G836">
        <v>22</v>
      </c>
    </row>
    <row r="837" spans="1:7" x14ac:dyDescent="0.3">
      <c r="A837">
        <v>836</v>
      </c>
      <c r="B837">
        <v>559</v>
      </c>
      <c r="C837" s="1">
        <v>45704</v>
      </c>
      <c r="D837" t="s">
        <v>20</v>
      </c>
      <c r="E837" t="s">
        <v>18</v>
      </c>
      <c r="F837" t="s">
        <v>26</v>
      </c>
      <c r="G837">
        <v>11</v>
      </c>
    </row>
    <row r="838" spans="1:7" x14ac:dyDescent="0.3">
      <c r="A838">
        <v>837</v>
      </c>
      <c r="B838">
        <v>559</v>
      </c>
      <c r="C838" s="1">
        <v>45704</v>
      </c>
      <c r="D838" t="s">
        <v>20</v>
      </c>
      <c r="E838" t="s">
        <v>18</v>
      </c>
      <c r="F838" t="s">
        <v>25</v>
      </c>
      <c r="G838">
        <v>45</v>
      </c>
    </row>
    <row r="839" spans="1:7" x14ac:dyDescent="0.3">
      <c r="A839">
        <v>838</v>
      </c>
      <c r="B839">
        <v>560</v>
      </c>
      <c r="C839" s="1">
        <v>45704</v>
      </c>
      <c r="D839" t="s">
        <v>20</v>
      </c>
      <c r="E839" t="s">
        <v>19</v>
      </c>
      <c r="F839" t="s">
        <v>26</v>
      </c>
      <c r="G839">
        <v>28</v>
      </c>
    </row>
    <row r="840" spans="1:7" x14ac:dyDescent="0.3">
      <c r="A840">
        <v>839</v>
      </c>
      <c r="B840">
        <v>560</v>
      </c>
      <c r="C840" s="1">
        <v>45704</v>
      </c>
      <c r="D840" t="s">
        <v>20</v>
      </c>
      <c r="E840" t="s">
        <v>19</v>
      </c>
      <c r="F840" t="s">
        <v>25</v>
      </c>
      <c r="G840">
        <v>5</v>
      </c>
    </row>
    <row r="841" spans="1:7" x14ac:dyDescent="0.3">
      <c r="A841">
        <v>840</v>
      </c>
      <c r="B841">
        <v>560</v>
      </c>
      <c r="C841" s="1">
        <v>45704</v>
      </c>
      <c r="D841" t="s">
        <v>20</v>
      </c>
      <c r="E841" t="s">
        <v>19</v>
      </c>
      <c r="F841" t="s">
        <v>25</v>
      </c>
      <c r="G841">
        <v>26</v>
      </c>
    </row>
    <row r="842" spans="1:7" x14ac:dyDescent="0.3">
      <c r="A842">
        <v>841</v>
      </c>
      <c r="B842">
        <v>560</v>
      </c>
      <c r="C842" s="1">
        <v>45704</v>
      </c>
      <c r="D842" t="s">
        <v>20</v>
      </c>
      <c r="E842" t="s">
        <v>19</v>
      </c>
      <c r="F842" t="s">
        <v>26</v>
      </c>
      <c r="G842">
        <v>56</v>
      </c>
    </row>
    <row r="843" spans="1:7" x14ac:dyDescent="0.3">
      <c r="A843">
        <v>842</v>
      </c>
      <c r="B843">
        <v>561</v>
      </c>
      <c r="C843" s="1">
        <v>45704</v>
      </c>
      <c r="D843" t="s">
        <v>21</v>
      </c>
      <c r="E843" t="s">
        <v>16</v>
      </c>
      <c r="F843" t="s">
        <v>27</v>
      </c>
      <c r="G843">
        <v>17</v>
      </c>
    </row>
    <row r="844" spans="1:7" x14ac:dyDescent="0.3">
      <c r="A844">
        <v>843</v>
      </c>
      <c r="B844">
        <v>563</v>
      </c>
      <c r="C844" s="1">
        <v>45704</v>
      </c>
      <c r="D844" t="s">
        <v>21</v>
      </c>
      <c r="E844" t="s">
        <v>18</v>
      </c>
      <c r="F844" t="s">
        <v>26</v>
      </c>
      <c r="G844">
        <v>51</v>
      </c>
    </row>
    <row r="845" spans="1:7" x14ac:dyDescent="0.3">
      <c r="A845">
        <v>844</v>
      </c>
      <c r="B845">
        <v>564</v>
      </c>
      <c r="C845" s="1">
        <v>45704</v>
      </c>
      <c r="D845" t="s">
        <v>21</v>
      </c>
      <c r="E845" t="s">
        <v>19</v>
      </c>
      <c r="F845" t="s">
        <v>25</v>
      </c>
      <c r="G845">
        <v>42</v>
      </c>
    </row>
    <row r="846" spans="1:7" x14ac:dyDescent="0.3">
      <c r="A846">
        <v>845</v>
      </c>
      <c r="B846">
        <v>565</v>
      </c>
      <c r="C846" s="1">
        <v>45705</v>
      </c>
      <c r="D846" t="s">
        <v>15</v>
      </c>
      <c r="E846" t="s">
        <v>16</v>
      </c>
      <c r="F846" t="s">
        <v>26</v>
      </c>
      <c r="G846">
        <v>18</v>
      </c>
    </row>
    <row r="847" spans="1:7" x14ac:dyDescent="0.3">
      <c r="A847">
        <v>846</v>
      </c>
      <c r="B847">
        <v>565</v>
      </c>
      <c r="C847" s="1">
        <v>45705</v>
      </c>
      <c r="D847" t="s">
        <v>15</v>
      </c>
      <c r="E847" t="s">
        <v>16</v>
      </c>
      <c r="F847" t="s">
        <v>25</v>
      </c>
      <c r="G847">
        <v>54</v>
      </c>
    </row>
    <row r="848" spans="1:7" x14ac:dyDescent="0.3">
      <c r="A848">
        <v>847</v>
      </c>
      <c r="B848">
        <v>566</v>
      </c>
      <c r="C848" s="1">
        <v>45705</v>
      </c>
      <c r="D848" t="s">
        <v>15</v>
      </c>
      <c r="E848" t="s">
        <v>17</v>
      </c>
      <c r="F848" t="s">
        <v>25</v>
      </c>
      <c r="G848">
        <v>5</v>
      </c>
    </row>
    <row r="849" spans="1:7" x14ac:dyDescent="0.3">
      <c r="A849">
        <v>848</v>
      </c>
      <c r="B849">
        <v>567</v>
      </c>
      <c r="C849" s="1">
        <v>45705</v>
      </c>
      <c r="D849" t="s">
        <v>15</v>
      </c>
      <c r="E849" t="s">
        <v>18</v>
      </c>
      <c r="F849" t="s">
        <v>30</v>
      </c>
      <c r="G849">
        <v>9</v>
      </c>
    </row>
    <row r="850" spans="1:7" x14ac:dyDescent="0.3">
      <c r="A850">
        <v>849</v>
      </c>
      <c r="B850">
        <v>567</v>
      </c>
      <c r="C850" s="1">
        <v>45705</v>
      </c>
      <c r="D850" t="s">
        <v>15</v>
      </c>
      <c r="E850" t="s">
        <v>18</v>
      </c>
      <c r="F850" t="s">
        <v>27</v>
      </c>
      <c r="G850">
        <v>54</v>
      </c>
    </row>
    <row r="851" spans="1:7" x14ac:dyDescent="0.3">
      <c r="A851">
        <v>850</v>
      </c>
      <c r="B851">
        <v>568</v>
      </c>
      <c r="C851" s="1">
        <v>45705</v>
      </c>
      <c r="D851" t="s">
        <v>15</v>
      </c>
      <c r="E851" t="s">
        <v>19</v>
      </c>
      <c r="F851" t="s">
        <v>25</v>
      </c>
      <c r="G851">
        <v>18</v>
      </c>
    </row>
    <row r="852" spans="1:7" x14ac:dyDescent="0.3">
      <c r="A852">
        <v>851</v>
      </c>
      <c r="B852">
        <v>568</v>
      </c>
      <c r="C852" s="1">
        <v>45705</v>
      </c>
      <c r="D852" t="s">
        <v>15</v>
      </c>
      <c r="E852" t="s">
        <v>19</v>
      </c>
      <c r="F852" t="s">
        <v>27</v>
      </c>
      <c r="G852">
        <v>5</v>
      </c>
    </row>
    <row r="853" spans="1:7" x14ac:dyDescent="0.3">
      <c r="A853">
        <v>852</v>
      </c>
      <c r="B853">
        <v>569</v>
      </c>
      <c r="C853" s="1">
        <v>45705</v>
      </c>
      <c r="D853" t="s">
        <v>20</v>
      </c>
      <c r="E853" t="s">
        <v>16</v>
      </c>
      <c r="F853" t="s">
        <v>27</v>
      </c>
      <c r="G853">
        <v>5</v>
      </c>
    </row>
    <row r="854" spans="1:7" x14ac:dyDescent="0.3">
      <c r="A854">
        <v>853</v>
      </c>
      <c r="B854">
        <v>570</v>
      </c>
      <c r="C854" s="1">
        <v>45705</v>
      </c>
      <c r="D854" t="s">
        <v>20</v>
      </c>
      <c r="E854" t="s">
        <v>17</v>
      </c>
      <c r="F854" t="s">
        <v>26</v>
      </c>
      <c r="G854">
        <v>5</v>
      </c>
    </row>
    <row r="855" spans="1:7" x14ac:dyDescent="0.3">
      <c r="A855">
        <v>854</v>
      </c>
      <c r="B855">
        <v>570</v>
      </c>
      <c r="C855" s="1">
        <v>45705</v>
      </c>
      <c r="D855" t="s">
        <v>20</v>
      </c>
      <c r="E855" t="s">
        <v>17</v>
      </c>
      <c r="F855" t="s">
        <v>30</v>
      </c>
      <c r="G855">
        <v>42</v>
      </c>
    </row>
    <row r="856" spans="1:7" x14ac:dyDescent="0.3">
      <c r="A856">
        <v>855</v>
      </c>
      <c r="B856">
        <v>572</v>
      </c>
      <c r="C856" s="1">
        <v>45705</v>
      </c>
      <c r="D856" t="s">
        <v>20</v>
      </c>
      <c r="E856" t="s">
        <v>19</v>
      </c>
      <c r="F856" t="s">
        <v>25</v>
      </c>
      <c r="G856">
        <v>22</v>
      </c>
    </row>
    <row r="857" spans="1:7" x14ac:dyDescent="0.3">
      <c r="A857">
        <v>856</v>
      </c>
      <c r="B857">
        <v>572</v>
      </c>
      <c r="C857" s="1">
        <v>45705</v>
      </c>
      <c r="D857" t="s">
        <v>20</v>
      </c>
      <c r="E857" t="s">
        <v>19</v>
      </c>
      <c r="F857" t="s">
        <v>25</v>
      </c>
      <c r="G857">
        <v>59</v>
      </c>
    </row>
    <row r="858" spans="1:7" x14ac:dyDescent="0.3">
      <c r="A858">
        <v>857</v>
      </c>
      <c r="B858">
        <v>573</v>
      </c>
      <c r="C858" s="1">
        <v>45705</v>
      </c>
      <c r="D858" t="s">
        <v>21</v>
      </c>
      <c r="E858" t="s">
        <v>16</v>
      </c>
      <c r="F858" t="s">
        <v>25</v>
      </c>
      <c r="G858">
        <v>73</v>
      </c>
    </row>
    <row r="859" spans="1:7" x14ac:dyDescent="0.3">
      <c r="A859">
        <v>858</v>
      </c>
      <c r="B859">
        <v>573</v>
      </c>
      <c r="C859" s="1">
        <v>45705</v>
      </c>
      <c r="D859" t="s">
        <v>21</v>
      </c>
      <c r="E859" t="s">
        <v>16</v>
      </c>
      <c r="F859" t="s">
        <v>27</v>
      </c>
      <c r="G859">
        <v>5</v>
      </c>
    </row>
    <row r="860" spans="1:7" x14ac:dyDescent="0.3">
      <c r="A860">
        <v>859</v>
      </c>
      <c r="B860">
        <v>573</v>
      </c>
      <c r="C860" s="1">
        <v>45705</v>
      </c>
      <c r="D860" t="s">
        <v>21</v>
      </c>
      <c r="E860" t="s">
        <v>16</v>
      </c>
      <c r="F860" t="s">
        <v>27</v>
      </c>
      <c r="G860">
        <v>47</v>
      </c>
    </row>
    <row r="861" spans="1:7" x14ac:dyDescent="0.3">
      <c r="A861">
        <v>860</v>
      </c>
      <c r="B861">
        <v>575</v>
      </c>
      <c r="C861" s="1">
        <v>45705</v>
      </c>
      <c r="D861" t="s">
        <v>21</v>
      </c>
      <c r="E861" t="s">
        <v>18</v>
      </c>
      <c r="F861" t="s">
        <v>28</v>
      </c>
      <c r="G861">
        <v>84</v>
      </c>
    </row>
    <row r="862" spans="1:7" x14ac:dyDescent="0.3">
      <c r="A862">
        <v>861</v>
      </c>
      <c r="B862">
        <v>577</v>
      </c>
      <c r="C862" s="1">
        <v>45706</v>
      </c>
      <c r="D862" t="s">
        <v>15</v>
      </c>
      <c r="E862" t="s">
        <v>16</v>
      </c>
      <c r="F862" t="s">
        <v>28</v>
      </c>
      <c r="G862">
        <v>7</v>
      </c>
    </row>
    <row r="863" spans="1:7" x14ac:dyDescent="0.3">
      <c r="A863">
        <v>862</v>
      </c>
      <c r="B863">
        <v>577</v>
      </c>
      <c r="C863" s="1">
        <v>45706</v>
      </c>
      <c r="D863" t="s">
        <v>15</v>
      </c>
      <c r="E863" t="s">
        <v>16</v>
      </c>
      <c r="F863" t="s">
        <v>29</v>
      </c>
      <c r="G863">
        <v>88</v>
      </c>
    </row>
    <row r="864" spans="1:7" x14ac:dyDescent="0.3">
      <c r="A864">
        <v>863</v>
      </c>
      <c r="B864">
        <v>579</v>
      </c>
      <c r="C864" s="1">
        <v>45706</v>
      </c>
      <c r="D864" t="s">
        <v>15</v>
      </c>
      <c r="E864" t="s">
        <v>18</v>
      </c>
      <c r="F864" t="s">
        <v>30</v>
      </c>
      <c r="G864">
        <v>45</v>
      </c>
    </row>
    <row r="865" spans="1:7" x14ac:dyDescent="0.3">
      <c r="A865">
        <v>864</v>
      </c>
      <c r="B865">
        <v>579</v>
      </c>
      <c r="C865" s="1">
        <v>45706</v>
      </c>
      <c r="D865" t="s">
        <v>15</v>
      </c>
      <c r="E865" t="s">
        <v>18</v>
      </c>
      <c r="F865" t="s">
        <v>25</v>
      </c>
      <c r="G865">
        <v>182</v>
      </c>
    </row>
    <row r="866" spans="1:7" x14ac:dyDescent="0.3">
      <c r="A866">
        <v>865</v>
      </c>
      <c r="B866">
        <v>579</v>
      </c>
      <c r="C866" s="1">
        <v>45706</v>
      </c>
      <c r="D866" t="s">
        <v>15</v>
      </c>
      <c r="E866" t="s">
        <v>18</v>
      </c>
      <c r="F866" t="s">
        <v>25</v>
      </c>
      <c r="G866">
        <v>75</v>
      </c>
    </row>
    <row r="867" spans="1:7" x14ac:dyDescent="0.3">
      <c r="A867">
        <v>866</v>
      </c>
      <c r="B867">
        <v>580</v>
      </c>
      <c r="C867" s="1">
        <v>45706</v>
      </c>
      <c r="D867" t="s">
        <v>15</v>
      </c>
      <c r="E867" t="s">
        <v>19</v>
      </c>
      <c r="F867" t="s">
        <v>25</v>
      </c>
      <c r="G867">
        <v>41</v>
      </c>
    </row>
    <row r="868" spans="1:7" x14ac:dyDescent="0.3">
      <c r="A868">
        <v>867</v>
      </c>
      <c r="B868">
        <v>580</v>
      </c>
      <c r="C868" s="1">
        <v>45706</v>
      </c>
      <c r="D868" t="s">
        <v>15</v>
      </c>
      <c r="E868" t="s">
        <v>19</v>
      </c>
      <c r="F868" t="s">
        <v>29</v>
      </c>
      <c r="G868">
        <v>12</v>
      </c>
    </row>
    <row r="869" spans="1:7" x14ac:dyDescent="0.3">
      <c r="A869">
        <v>868</v>
      </c>
      <c r="B869">
        <v>582</v>
      </c>
      <c r="C869" s="1">
        <v>45706</v>
      </c>
      <c r="D869" t="s">
        <v>20</v>
      </c>
      <c r="E869" t="s">
        <v>17</v>
      </c>
      <c r="F869" t="s">
        <v>30</v>
      </c>
      <c r="G869">
        <v>12</v>
      </c>
    </row>
    <row r="870" spans="1:7" x14ac:dyDescent="0.3">
      <c r="A870">
        <v>869</v>
      </c>
      <c r="B870">
        <v>583</v>
      </c>
      <c r="C870" s="1">
        <v>45706</v>
      </c>
      <c r="D870" t="s">
        <v>20</v>
      </c>
      <c r="E870" t="s">
        <v>18</v>
      </c>
      <c r="F870" t="s">
        <v>28</v>
      </c>
      <c r="G870">
        <v>46</v>
      </c>
    </row>
    <row r="871" spans="1:7" x14ac:dyDescent="0.3">
      <c r="A871">
        <v>870</v>
      </c>
      <c r="B871">
        <v>583</v>
      </c>
      <c r="C871" s="1">
        <v>45706</v>
      </c>
      <c r="D871" t="s">
        <v>20</v>
      </c>
      <c r="E871" t="s">
        <v>18</v>
      </c>
      <c r="F871" t="s">
        <v>26</v>
      </c>
      <c r="G871">
        <v>7</v>
      </c>
    </row>
    <row r="872" spans="1:7" x14ac:dyDescent="0.3">
      <c r="A872">
        <v>871</v>
      </c>
      <c r="B872">
        <v>585</v>
      </c>
      <c r="C872" s="1">
        <v>45706</v>
      </c>
      <c r="D872" t="s">
        <v>21</v>
      </c>
      <c r="E872" t="s">
        <v>16</v>
      </c>
      <c r="F872" t="s">
        <v>26</v>
      </c>
      <c r="G872">
        <v>5</v>
      </c>
    </row>
    <row r="873" spans="1:7" x14ac:dyDescent="0.3">
      <c r="A873">
        <v>872</v>
      </c>
      <c r="B873">
        <v>585</v>
      </c>
      <c r="C873" s="1">
        <v>45706</v>
      </c>
      <c r="D873" t="s">
        <v>21</v>
      </c>
      <c r="E873" t="s">
        <v>16</v>
      </c>
      <c r="F873" t="s">
        <v>27</v>
      </c>
      <c r="G873">
        <v>5</v>
      </c>
    </row>
    <row r="874" spans="1:7" x14ac:dyDescent="0.3">
      <c r="A874">
        <v>873</v>
      </c>
      <c r="B874">
        <v>586</v>
      </c>
      <c r="C874" s="1">
        <v>45706</v>
      </c>
      <c r="D874" t="s">
        <v>21</v>
      </c>
      <c r="E874" t="s">
        <v>17</v>
      </c>
      <c r="F874" t="s">
        <v>27</v>
      </c>
      <c r="G874">
        <v>14</v>
      </c>
    </row>
    <row r="875" spans="1:7" x14ac:dyDescent="0.3">
      <c r="A875">
        <v>874</v>
      </c>
      <c r="B875">
        <v>587</v>
      </c>
      <c r="C875" s="1">
        <v>45706</v>
      </c>
      <c r="D875" t="s">
        <v>21</v>
      </c>
      <c r="E875" t="s">
        <v>18</v>
      </c>
      <c r="F875" t="s">
        <v>27</v>
      </c>
      <c r="G875">
        <v>5</v>
      </c>
    </row>
    <row r="876" spans="1:7" x14ac:dyDescent="0.3">
      <c r="A876">
        <v>875</v>
      </c>
      <c r="B876">
        <v>588</v>
      </c>
      <c r="C876" s="1">
        <v>45706</v>
      </c>
      <c r="D876" t="s">
        <v>21</v>
      </c>
      <c r="E876" t="s">
        <v>19</v>
      </c>
      <c r="F876" t="s">
        <v>25</v>
      </c>
      <c r="G876">
        <v>5</v>
      </c>
    </row>
    <row r="877" spans="1:7" x14ac:dyDescent="0.3">
      <c r="A877">
        <v>876</v>
      </c>
      <c r="B877">
        <v>588</v>
      </c>
      <c r="C877" s="1">
        <v>45706</v>
      </c>
      <c r="D877" t="s">
        <v>21</v>
      </c>
      <c r="E877" t="s">
        <v>19</v>
      </c>
      <c r="F877" t="s">
        <v>25</v>
      </c>
      <c r="G877">
        <v>35</v>
      </c>
    </row>
    <row r="878" spans="1:7" x14ac:dyDescent="0.3">
      <c r="A878">
        <v>877</v>
      </c>
      <c r="B878">
        <v>588</v>
      </c>
      <c r="C878" s="1">
        <v>45706</v>
      </c>
      <c r="D878" t="s">
        <v>21</v>
      </c>
      <c r="E878" t="s">
        <v>19</v>
      </c>
      <c r="F878" t="s">
        <v>26</v>
      </c>
      <c r="G878">
        <v>5</v>
      </c>
    </row>
    <row r="879" spans="1:7" x14ac:dyDescent="0.3">
      <c r="A879">
        <v>878</v>
      </c>
      <c r="B879">
        <v>588</v>
      </c>
      <c r="C879" s="1">
        <v>45706</v>
      </c>
      <c r="D879" t="s">
        <v>21</v>
      </c>
      <c r="E879" t="s">
        <v>19</v>
      </c>
      <c r="F879" t="s">
        <v>28</v>
      </c>
      <c r="G879">
        <v>110</v>
      </c>
    </row>
    <row r="880" spans="1:7" x14ac:dyDescent="0.3">
      <c r="A880">
        <v>879</v>
      </c>
      <c r="B880">
        <v>590</v>
      </c>
      <c r="C880" s="1">
        <v>45707</v>
      </c>
      <c r="D880" t="s">
        <v>15</v>
      </c>
      <c r="E880" t="s">
        <v>17</v>
      </c>
      <c r="F880" t="s">
        <v>27</v>
      </c>
      <c r="G880">
        <v>91</v>
      </c>
    </row>
    <row r="881" spans="1:7" x14ac:dyDescent="0.3">
      <c r="A881">
        <v>880</v>
      </c>
      <c r="B881">
        <v>593</v>
      </c>
      <c r="C881" s="1">
        <v>45707</v>
      </c>
      <c r="D881" t="s">
        <v>20</v>
      </c>
      <c r="E881" t="s">
        <v>16</v>
      </c>
      <c r="F881" t="s">
        <v>27</v>
      </c>
      <c r="G881">
        <v>5</v>
      </c>
    </row>
    <row r="882" spans="1:7" x14ac:dyDescent="0.3">
      <c r="A882">
        <v>881</v>
      </c>
      <c r="B882">
        <v>593</v>
      </c>
      <c r="C882" s="1">
        <v>45707</v>
      </c>
      <c r="D882" t="s">
        <v>20</v>
      </c>
      <c r="E882" t="s">
        <v>16</v>
      </c>
      <c r="F882" t="s">
        <v>25</v>
      </c>
      <c r="G882">
        <v>8</v>
      </c>
    </row>
    <row r="883" spans="1:7" x14ac:dyDescent="0.3">
      <c r="A883">
        <v>882</v>
      </c>
      <c r="B883">
        <v>594</v>
      </c>
      <c r="C883" s="1">
        <v>45707</v>
      </c>
      <c r="D883" t="s">
        <v>20</v>
      </c>
      <c r="E883" t="s">
        <v>17</v>
      </c>
      <c r="F883" t="s">
        <v>27</v>
      </c>
      <c r="G883">
        <v>5</v>
      </c>
    </row>
    <row r="884" spans="1:7" x14ac:dyDescent="0.3">
      <c r="A884">
        <v>883</v>
      </c>
      <c r="B884">
        <v>594</v>
      </c>
      <c r="C884" s="1">
        <v>45707</v>
      </c>
      <c r="D884" t="s">
        <v>20</v>
      </c>
      <c r="E884" t="s">
        <v>17</v>
      </c>
      <c r="F884" t="s">
        <v>25</v>
      </c>
      <c r="G884">
        <v>8</v>
      </c>
    </row>
    <row r="885" spans="1:7" x14ac:dyDescent="0.3">
      <c r="A885">
        <v>884</v>
      </c>
      <c r="B885">
        <v>595</v>
      </c>
      <c r="C885" s="1">
        <v>45707</v>
      </c>
      <c r="D885" t="s">
        <v>20</v>
      </c>
      <c r="E885" t="s">
        <v>18</v>
      </c>
      <c r="F885" t="s">
        <v>25</v>
      </c>
      <c r="G885">
        <v>19</v>
      </c>
    </row>
    <row r="886" spans="1:7" x14ac:dyDescent="0.3">
      <c r="A886">
        <v>885</v>
      </c>
      <c r="B886">
        <v>595</v>
      </c>
      <c r="C886" s="1">
        <v>45707</v>
      </c>
      <c r="D886" t="s">
        <v>20</v>
      </c>
      <c r="E886" t="s">
        <v>18</v>
      </c>
      <c r="F886" t="s">
        <v>30</v>
      </c>
      <c r="G886">
        <v>73</v>
      </c>
    </row>
    <row r="887" spans="1:7" x14ac:dyDescent="0.3">
      <c r="A887">
        <v>886</v>
      </c>
      <c r="B887">
        <v>595</v>
      </c>
      <c r="C887" s="1">
        <v>45707</v>
      </c>
      <c r="D887" t="s">
        <v>20</v>
      </c>
      <c r="E887" t="s">
        <v>18</v>
      </c>
      <c r="F887" t="s">
        <v>25</v>
      </c>
      <c r="G887">
        <v>93</v>
      </c>
    </row>
    <row r="888" spans="1:7" x14ac:dyDescent="0.3">
      <c r="A888">
        <v>887</v>
      </c>
      <c r="B888">
        <v>596</v>
      </c>
      <c r="C888" s="1">
        <v>45707</v>
      </c>
      <c r="D888" t="s">
        <v>20</v>
      </c>
      <c r="E888" t="s">
        <v>19</v>
      </c>
      <c r="F888" t="s">
        <v>28</v>
      </c>
      <c r="G888">
        <v>11</v>
      </c>
    </row>
    <row r="889" spans="1:7" x14ac:dyDescent="0.3">
      <c r="A889">
        <v>888</v>
      </c>
      <c r="B889">
        <v>597</v>
      </c>
      <c r="C889" s="1">
        <v>45707</v>
      </c>
      <c r="D889" t="s">
        <v>21</v>
      </c>
      <c r="E889" t="s">
        <v>16</v>
      </c>
      <c r="F889" t="s">
        <v>30</v>
      </c>
      <c r="G889">
        <v>24</v>
      </c>
    </row>
    <row r="890" spans="1:7" x14ac:dyDescent="0.3">
      <c r="A890">
        <v>889</v>
      </c>
      <c r="B890">
        <v>597</v>
      </c>
      <c r="C890" s="1">
        <v>45707</v>
      </c>
      <c r="D890" t="s">
        <v>21</v>
      </c>
      <c r="E890" t="s">
        <v>16</v>
      </c>
      <c r="F890" t="s">
        <v>29</v>
      </c>
      <c r="G890">
        <v>5</v>
      </c>
    </row>
    <row r="891" spans="1:7" x14ac:dyDescent="0.3">
      <c r="A891">
        <v>890</v>
      </c>
      <c r="B891">
        <v>598</v>
      </c>
      <c r="C891" s="1">
        <v>45707</v>
      </c>
      <c r="D891" t="s">
        <v>21</v>
      </c>
      <c r="E891" t="s">
        <v>17</v>
      </c>
      <c r="F891" t="s">
        <v>27</v>
      </c>
      <c r="G891">
        <v>113</v>
      </c>
    </row>
    <row r="892" spans="1:7" x14ac:dyDescent="0.3">
      <c r="A892">
        <v>891</v>
      </c>
      <c r="B892">
        <v>598</v>
      </c>
      <c r="C892" s="1">
        <v>45707</v>
      </c>
      <c r="D892" t="s">
        <v>21</v>
      </c>
      <c r="E892" t="s">
        <v>17</v>
      </c>
      <c r="F892" t="s">
        <v>25</v>
      </c>
      <c r="G892">
        <v>50</v>
      </c>
    </row>
    <row r="893" spans="1:7" x14ac:dyDescent="0.3">
      <c r="A893">
        <v>892</v>
      </c>
      <c r="B893">
        <v>600</v>
      </c>
      <c r="C893" s="1">
        <v>45707</v>
      </c>
      <c r="D893" t="s">
        <v>21</v>
      </c>
      <c r="E893" t="s">
        <v>19</v>
      </c>
      <c r="F893" t="s">
        <v>27</v>
      </c>
      <c r="G893">
        <v>22</v>
      </c>
    </row>
    <row r="894" spans="1:7" x14ac:dyDescent="0.3">
      <c r="A894">
        <v>893</v>
      </c>
      <c r="B894">
        <v>600</v>
      </c>
      <c r="C894" s="1">
        <v>45707</v>
      </c>
      <c r="D894" t="s">
        <v>21</v>
      </c>
      <c r="E894" t="s">
        <v>19</v>
      </c>
      <c r="F894" t="s">
        <v>27</v>
      </c>
      <c r="G894">
        <v>10</v>
      </c>
    </row>
    <row r="895" spans="1:7" x14ac:dyDescent="0.3">
      <c r="A895">
        <v>894</v>
      </c>
      <c r="B895">
        <v>601</v>
      </c>
      <c r="C895" s="1">
        <v>45708</v>
      </c>
      <c r="D895" t="s">
        <v>15</v>
      </c>
      <c r="E895" t="s">
        <v>16</v>
      </c>
      <c r="F895" t="s">
        <v>27</v>
      </c>
      <c r="G895">
        <v>16</v>
      </c>
    </row>
    <row r="896" spans="1:7" x14ac:dyDescent="0.3">
      <c r="A896">
        <v>895</v>
      </c>
      <c r="B896">
        <v>602</v>
      </c>
      <c r="C896" s="1">
        <v>45708</v>
      </c>
      <c r="D896" t="s">
        <v>15</v>
      </c>
      <c r="E896" t="s">
        <v>17</v>
      </c>
      <c r="F896" t="s">
        <v>27</v>
      </c>
      <c r="G896">
        <v>30</v>
      </c>
    </row>
    <row r="897" spans="1:7" x14ac:dyDescent="0.3">
      <c r="A897">
        <v>896</v>
      </c>
      <c r="B897">
        <v>603</v>
      </c>
      <c r="C897" s="1">
        <v>45708</v>
      </c>
      <c r="D897" t="s">
        <v>15</v>
      </c>
      <c r="E897" t="s">
        <v>18</v>
      </c>
      <c r="F897" t="s">
        <v>27</v>
      </c>
      <c r="G897">
        <v>5</v>
      </c>
    </row>
    <row r="898" spans="1:7" x14ac:dyDescent="0.3">
      <c r="A898">
        <v>897</v>
      </c>
      <c r="B898">
        <v>603</v>
      </c>
      <c r="C898" s="1">
        <v>45708</v>
      </c>
      <c r="D898" t="s">
        <v>15</v>
      </c>
      <c r="E898" t="s">
        <v>18</v>
      </c>
      <c r="F898" t="s">
        <v>25</v>
      </c>
      <c r="G898">
        <v>24</v>
      </c>
    </row>
    <row r="899" spans="1:7" x14ac:dyDescent="0.3">
      <c r="A899">
        <v>898</v>
      </c>
      <c r="B899">
        <v>603</v>
      </c>
      <c r="C899" s="1">
        <v>45708</v>
      </c>
      <c r="D899" t="s">
        <v>15</v>
      </c>
      <c r="E899" t="s">
        <v>18</v>
      </c>
      <c r="F899" t="s">
        <v>27</v>
      </c>
      <c r="G899">
        <v>14</v>
      </c>
    </row>
    <row r="900" spans="1:7" x14ac:dyDescent="0.3">
      <c r="A900">
        <v>899</v>
      </c>
      <c r="B900">
        <v>603</v>
      </c>
      <c r="C900" s="1">
        <v>45708</v>
      </c>
      <c r="D900" t="s">
        <v>15</v>
      </c>
      <c r="E900" t="s">
        <v>18</v>
      </c>
      <c r="F900" t="s">
        <v>25</v>
      </c>
      <c r="G900">
        <v>5</v>
      </c>
    </row>
    <row r="901" spans="1:7" x14ac:dyDescent="0.3">
      <c r="A901">
        <v>900</v>
      </c>
      <c r="B901">
        <v>604</v>
      </c>
      <c r="C901" s="1">
        <v>45708</v>
      </c>
      <c r="D901" t="s">
        <v>15</v>
      </c>
      <c r="E901" t="s">
        <v>19</v>
      </c>
      <c r="F901" t="s">
        <v>27</v>
      </c>
      <c r="G901">
        <v>56</v>
      </c>
    </row>
    <row r="902" spans="1:7" x14ac:dyDescent="0.3">
      <c r="A902">
        <v>901</v>
      </c>
      <c r="B902">
        <v>606</v>
      </c>
      <c r="C902" s="1">
        <v>45708</v>
      </c>
      <c r="D902" t="s">
        <v>20</v>
      </c>
      <c r="E902" t="s">
        <v>17</v>
      </c>
      <c r="F902" t="s">
        <v>29</v>
      </c>
      <c r="G902">
        <v>5</v>
      </c>
    </row>
    <row r="903" spans="1:7" x14ac:dyDescent="0.3">
      <c r="A903">
        <v>902</v>
      </c>
      <c r="B903">
        <v>607</v>
      </c>
      <c r="C903" s="1">
        <v>45708</v>
      </c>
      <c r="D903" t="s">
        <v>20</v>
      </c>
      <c r="E903" t="s">
        <v>18</v>
      </c>
      <c r="F903" t="s">
        <v>26</v>
      </c>
      <c r="G903">
        <v>73</v>
      </c>
    </row>
    <row r="904" spans="1:7" x14ac:dyDescent="0.3">
      <c r="A904">
        <v>903</v>
      </c>
      <c r="B904">
        <v>607</v>
      </c>
      <c r="C904" s="1">
        <v>45708</v>
      </c>
      <c r="D904" t="s">
        <v>20</v>
      </c>
      <c r="E904" t="s">
        <v>18</v>
      </c>
      <c r="F904" t="s">
        <v>27</v>
      </c>
      <c r="G904">
        <v>5</v>
      </c>
    </row>
    <row r="905" spans="1:7" x14ac:dyDescent="0.3">
      <c r="A905">
        <v>904</v>
      </c>
      <c r="B905">
        <v>607</v>
      </c>
      <c r="C905" s="1">
        <v>45708</v>
      </c>
      <c r="D905" t="s">
        <v>20</v>
      </c>
      <c r="E905" t="s">
        <v>18</v>
      </c>
      <c r="F905" t="s">
        <v>25</v>
      </c>
      <c r="G905">
        <v>9</v>
      </c>
    </row>
    <row r="906" spans="1:7" x14ac:dyDescent="0.3">
      <c r="A906">
        <v>905</v>
      </c>
      <c r="B906">
        <v>607</v>
      </c>
      <c r="C906" s="1">
        <v>45708</v>
      </c>
      <c r="D906" t="s">
        <v>20</v>
      </c>
      <c r="E906" t="s">
        <v>18</v>
      </c>
      <c r="F906" t="s">
        <v>25</v>
      </c>
      <c r="G906">
        <v>16</v>
      </c>
    </row>
    <row r="907" spans="1:7" x14ac:dyDescent="0.3">
      <c r="A907">
        <v>906</v>
      </c>
      <c r="B907">
        <v>608</v>
      </c>
      <c r="C907" s="1">
        <v>45708</v>
      </c>
      <c r="D907" t="s">
        <v>20</v>
      </c>
      <c r="E907" t="s">
        <v>19</v>
      </c>
      <c r="F907" t="s">
        <v>25</v>
      </c>
      <c r="G907">
        <v>8</v>
      </c>
    </row>
    <row r="908" spans="1:7" x14ac:dyDescent="0.3">
      <c r="A908">
        <v>907</v>
      </c>
      <c r="B908">
        <v>608</v>
      </c>
      <c r="C908" s="1">
        <v>45708</v>
      </c>
      <c r="D908" t="s">
        <v>20</v>
      </c>
      <c r="E908" t="s">
        <v>19</v>
      </c>
      <c r="F908" t="s">
        <v>27</v>
      </c>
      <c r="G908">
        <v>5</v>
      </c>
    </row>
    <row r="909" spans="1:7" x14ac:dyDescent="0.3">
      <c r="A909">
        <v>908</v>
      </c>
      <c r="B909">
        <v>609</v>
      </c>
      <c r="C909" s="1">
        <v>45708</v>
      </c>
      <c r="D909" t="s">
        <v>21</v>
      </c>
      <c r="E909" t="s">
        <v>16</v>
      </c>
      <c r="F909" t="s">
        <v>26</v>
      </c>
      <c r="G909">
        <v>33</v>
      </c>
    </row>
    <row r="910" spans="1:7" x14ac:dyDescent="0.3">
      <c r="A910">
        <v>909</v>
      </c>
      <c r="B910">
        <v>611</v>
      </c>
      <c r="C910" s="1">
        <v>45708</v>
      </c>
      <c r="D910" t="s">
        <v>21</v>
      </c>
      <c r="E910" t="s">
        <v>18</v>
      </c>
      <c r="F910" t="s">
        <v>26</v>
      </c>
      <c r="G910">
        <v>80</v>
      </c>
    </row>
    <row r="911" spans="1:7" x14ac:dyDescent="0.3">
      <c r="A911">
        <v>910</v>
      </c>
      <c r="B911">
        <v>611</v>
      </c>
      <c r="C911" s="1">
        <v>45708</v>
      </c>
      <c r="D911" t="s">
        <v>21</v>
      </c>
      <c r="E911" t="s">
        <v>18</v>
      </c>
      <c r="F911" t="s">
        <v>28</v>
      </c>
      <c r="G911">
        <v>76</v>
      </c>
    </row>
    <row r="912" spans="1:7" x14ac:dyDescent="0.3">
      <c r="A912">
        <v>911</v>
      </c>
      <c r="B912">
        <v>613</v>
      </c>
      <c r="C912" s="1">
        <v>45709</v>
      </c>
      <c r="D912" t="s">
        <v>15</v>
      </c>
      <c r="E912" t="s">
        <v>16</v>
      </c>
      <c r="F912" t="s">
        <v>25</v>
      </c>
      <c r="G912">
        <v>88</v>
      </c>
    </row>
    <row r="913" spans="1:7" x14ac:dyDescent="0.3">
      <c r="A913">
        <v>912</v>
      </c>
      <c r="B913">
        <v>614</v>
      </c>
      <c r="C913" s="1">
        <v>45709</v>
      </c>
      <c r="D913" t="s">
        <v>15</v>
      </c>
      <c r="E913" t="s">
        <v>17</v>
      </c>
      <c r="F913" t="s">
        <v>30</v>
      </c>
      <c r="G913">
        <v>5</v>
      </c>
    </row>
    <row r="914" spans="1:7" x14ac:dyDescent="0.3">
      <c r="A914">
        <v>913</v>
      </c>
      <c r="B914">
        <v>615</v>
      </c>
      <c r="C914" s="1">
        <v>45709</v>
      </c>
      <c r="D914" t="s">
        <v>15</v>
      </c>
      <c r="E914" t="s">
        <v>18</v>
      </c>
      <c r="F914" t="s">
        <v>30</v>
      </c>
      <c r="G914">
        <v>21</v>
      </c>
    </row>
    <row r="915" spans="1:7" x14ac:dyDescent="0.3">
      <c r="A915">
        <v>914</v>
      </c>
      <c r="B915">
        <v>615</v>
      </c>
      <c r="C915" s="1">
        <v>45709</v>
      </c>
      <c r="D915" t="s">
        <v>15</v>
      </c>
      <c r="E915" t="s">
        <v>18</v>
      </c>
      <c r="F915" t="s">
        <v>26</v>
      </c>
      <c r="G915">
        <v>101</v>
      </c>
    </row>
    <row r="916" spans="1:7" x14ac:dyDescent="0.3">
      <c r="A916">
        <v>915</v>
      </c>
      <c r="B916">
        <v>615</v>
      </c>
      <c r="C916" s="1">
        <v>45709</v>
      </c>
      <c r="D916" t="s">
        <v>15</v>
      </c>
      <c r="E916" t="s">
        <v>18</v>
      </c>
      <c r="F916" t="s">
        <v>27</v>
      </c>
      <c r="G916">
        <v>5</v>
      </c>
    </row>
    <row r="917" spans="1:7" x14ac:dyDescent="0.3">
      <c r="A917">
        <v>916</v>
      </c>
      <c r="B917">
        <v>616</v>
      </c>
      <c r="C917" s="1">
        <v>45709</v>
      </c>
      <c r="D917" t="s">
        <v>15</v>
      </c>
      <c r="E917" t="s">
        <v>19</v>
      </c>
      <c r="F917" t="s">
        <v>27</v>
      </c>
      <c r="G917">
        <v>7</v>
      </c>
    </row>
    <row r="918" spans="1:7" x14ac:dyDescent="0.3">
      <c r="A918">
        <v>917</v>
      </c>
      <c r="B918">
        <v>617</v>
      </c>
      <c r="C918" s="1">
        <v>45709</v>
      </c>
      <c r="D918" t="s">
        <v>20</v>
      </c>
      <c r="E918" t="s">
        <v>16</v>
      </c>
      <c r="F918" t="s">
        <v>27</v>
      </c>
      <c r="G918">
        <v>6</v>
      </c>
    </row>
    <row r="919" spans="1:7" x14ac:dyDescent="0.3">
      <c r="A919">
        <v>918</v>
      </c>
      <c r="B919">
        <v>618</v>
      </c>
      <c r="C919" s="1">
        <v>45709</v>
      </c>
      <c r="D919" t="s">
        <v>20</v>
      </c>
      <c r="E919" t="s">
        <v>17</v>
      </c>
      <c r="F919" t="s">
        <v>25</v>
      </c>
      <c r="G919">
        <v>140</v>
      </c>
    </row>
    <row r="920" spans="1:7" x14ac:dyDescent="0.3">
      <c r="A920">
        <v>919</v>
      </c>
      <c r="B920">
        <v>618</v>
      </c>
      <c r="C920" s="1">
        <v>45709</v>
      </c>
      <c r="D920" t="s">
        <v>20</v>
      </c>
      <c r="E920" t="s">
        <v>17</v>
      </c>
      <c r="F920" t="s">
        <v>27</v>
      </c>
      <c r="G920">
        <v>8</v>
      </c>
    </row>
    <row r="921" spans="1:7" x14ac:dyDescent="0.3">
      <c r="A921">
        <v>920</v>
      </c>
      <c r="B921">
        <v>618</v>
      </c>
      <c r="C921" s="1">
        <v>45709</v>
      </c>
      <c r="D921" t="s">
        <v>20</v>
      </c>
      <c r="E921" t="s">
        <v>17</v>
      </c>
      <c r="F921" t="s">
        <v>25</v>
      </c>
      <c r="G921">
        <v>29</v>
      </c>
    </row>
    <row r="922" spans="1:7" x14ac:dyDescent="0.3">
      <c r="A922">
        <v>921</v>
      </c>
      <c r="B922">
        <v>618</v>
      </c>
      <c r="C922" s="1">
        <v>45709</v>
      </c>
      <c r="D922" t="s">
        <v>20</v>
      </c>
      <c r="E922" t="s">
        <v>17</v>
      </c>
      <c r="F922" t="s">
        <v>25</v>
      </c>
      <c r="G922">
        <v>12</v>
      </c>
    </row>
    <row r="923" spans="1:7" x14ac:dyDescent="0.3">
      <c r="A923">
        <v>922</v>
      </c>
      <c r="B923">
        <v>619</v>
      </c>
      <c r="C923" s="1">
        <v>45709</v>
      </c>
      <c r="D923" t="s">
        <v>20</v>
      </c>
      <c r="E923" t="s">
        <v>18</v>
      </c>
      <c r="F923" t="s">
        <v>30</v>
      </c>
      <c r="G923">
        <v>5</v>
      </c>
    </row>
    <row r="924" spans="1:7" x14ac:dyDescent="0.3">
      <c r="A924">
        <v>923</v>
      </c>
      <c r="B924">
        <v>619</v>
      </c>
      <c r="C924" s="1">
        <v>45709</v>
      </c>
      <c r="D924" t="s">
        <v>20</v>
      </c>
      <c r="E924" t="s">
        <v>18</v>
      </c>
      <c r="F924" t="s">
        <v>26</v>
      </c>
      <c r="G924">
        <v>87</v>
      </c>
    </row>
    <row r="925" spans="1:7" x14ac:dyDescent="0.3">
      <c r="A925">
        <v>924</v>
      </c>
      <c r="B925">
        <v>619</v>
      </c>
      <c r="C925" s="1">
        <v>45709</v>
      </c>
      <c r="D925" t="s">
        <v>20</v>
      </c>
      <c r="E925" t="s">
        <v>18</v>
      </c>
      <c r="F925" t="s">
        <v>26</v>
      </c>
      <c r="G925">
        <v>12</v>
      </c>
    </row>
    <row r="926" spans="1:7" x14ac:dyDescent="0.3">
      <c r="A926">
        <v>925</v>
      </c>
      <c r="B926">
        <v>620</v>
      </c>
      <c r="C926" s="1">
        <v>45709</v>
      </c>
      <c r="D926" t="s">
        <v>20</v>
      </c>
      <c r="E926" t="s">
        <v>19</v>
      </c>
      <c r="F926" t="s">
        <v>25</v>
      </c>
      <c r="G926">
        <v>72</v>
      </c>
    </row>
    <row r="927" spans="1:7" x14ac:dyDescent="0.3">
      <c r="A927">
        <v>926</v>
      </c>
      <c r="B927">
        <v>621</v>
      </c>
      <c r="C927" s="1">
        <v>45709</v>
      </c>
      <c r="D927" t="s">
        <v>21</v>
      </c>
      <c r="E927" t="s">
        <v>16</v>
      </c>
      <c r="F927" t="s">
        <v>30</v>
      </c>
      <c r="G927">
        <v>25</v>
      </c>
    </row>
    <row r="928" spans="1:7" x14ac:dyDescent="0.3">
      <c r="A928">
        <v>927</v>
      </c>
      <c r="B928">
        <v>621</v>
      </c>
      <c r="C928" s="1">
        <v>45709</v>
      </c>
      <c r="D928" t="s">
        <v>21</v>
      </c>
      <c r="E928" t="s">
        <v>16</v>
      </c>
      <c r="F928" t="s">
        <v>28</v>
      </c>
      <c r="G928">
        <v>22</v>
      </c>
    </row>
    <row r="929" spans="1:7" x14ac:dyDescent="0.3">
      <c r="A929">
        <v>928</v>
      </c>
      <c r="B929">
        <v>622</v>
      </c>
      <c r="C929" s="1">
        <v>45709</v>
      </c>
      <c r="D929" t="s">
        <v>21</v>
      </c>
      <c r="E929" t="s">
        <v>17</v>
      </c>
      <c r="F929" t="s">
        <v>29</v>
      </c>
      <c r="G929">
        <v>5</v>
      </c>
    </row>
    <row r="930" spans="1:7" x14ac:dyDescent="0.3">
      <c r="A930">
        <v>929</v>
      </c>
      <c r="B930">
        <v>622</v>
      </c>
      <c r="C930" s="1">
        <v>45709</v>
      </c>
      <c r="D930" t="s">
        <v>21</v>
      </c>
      <c r="E930" t="s">
        <v>17</v>
      </c>
      <c r="F930" t="s">
        <v>25</v>
      </c>
      <c r="G930">
        <v>56</v>
      </c>
    </row>
    <row r="931" spans="1:7" x14ac:dyDescent="0.3">
      <c r="A931">
        <v>930</v>
      </c>
      <c r="B931">
        <v>622</v>
      </c>
      <c r="C931" s="1">
        <v>45709</v>
      </c>
      <c r="D931" t="s">
        <v>21</v>
      </c>
      <c r="E931" t="s">
        <v>17</v>
      </c>
      <c r="F931" t="s">
        <v>27</v>
      </c>
      <c r="G931">
        <v>37</v>
      </c>
    </row>
    <row r="932" spans="1:7" x14ac:dyDescent="0.3">
      <c r="A932">
        <v>931</v>
      </c>
      <c r="B932">
        <v>623</v>
      </c>
      <c r="C932" s="1">
        <v>45709</v>
      </c>
      <c r="D932" t="s">
        <v>21</v>
      </c>
      <c r="E932" t="s">
        <v>18</v>
      </c>
      <c r="F932" t="s">
        <v>26</v>
      </c>
      <c r="G932">
        <v>21</v>
      </c>
    </row>
    <row r="933" spans="1:7" x14ac:dyDescent="0.3">
      <c r="A933">
        <v>932</v>
      </c>
      <c r="B933">
        <v>623</v>
      </c>
      <c r="C933" s="1">
        <v>45709</v>
      </c>
      <c r="D933" t="s">
        <v>21</v>
      </c>
      <c r="E933" t="s">
        <v>18</v>
      </c>
      <c r="F933" t="s">
        <v>26</v>
      </c>
      <c r="G933">
        <v>18</v>
      </c>
    </row>
    <row r="934" spans="1:7" x14ac:dyDescent="0.3">
      <c r="A934">
        <v>933</v>
      </c>
      <c r="B934">
        <v>624</v>
      </c>
      <c r="C934" s="1">
        <v>45709</v>
      </c>
      <c r="D934" t="s">
        <v>21</v>
      </c>
      <c r="E934" t="s">
        <v>19</v>
      </c>
      <c r="F934" t="s">
        <v>30</v>
      </c>
      <c r="G934">
        <v>16</v>
      </c>
    </row>
    <row r="935" spans="1:7" x14ac:dyDescent="0.3">
      <c r="A935">
        <v>934</v>
      </c>
      <c r="B935">
        <v>625</v>
      </c>
      <c r="C935" s="1">
        <v>45710</v>
      </c>
      <c r="D935" t="s">
        <v>15</v>
      </c>
      <c r="E935" t="s">
        <v>16</v>
      </c>
      <c r="F935" t="s">
        <v>27</v>
      </c>
      <c r="G935">
        <v>43</v>
      </c>
    </row>
    <row r="936" spans="1:7" x14ac:dyDescent="0.3">
      <c r="A936">
        <v>935</v>
      </c>
      <c r="B936">
        <v>625</v>
      </c>
      <c r="C936" s="1">
        <v>45710</v>
      </c>
      <c r="D936" t="s">
        <v>15</v>
      </c>
      <c r="E936" t="s">
        <v>16</v>
      </c>
      <c r="F936" t="s">
        <v>25</v>
      </c>
      <c r="G936">
        <v>146</v>
      </c>
    </row>
    <row r="937" spans="1:7" x14ac:dyDescent="0.3">
      <c r="A937">
        <v>936</v>
      </c>
      <c r="B937">
        <v>626</v>
      </c>
      <c r="C937" s="1">
        <v>45710</v>
      </c>
      <c r="D937" t="s">
        <v>15</v>
      </c>
      <c r="E937" t="s">
        <v>17</v>
      </c>
      <c r="F937" t="s">
        <v>28</v>
      </c>
      <c r="G937">
        <v>21</v>
      </c>
    </row>
    <row r="938" spans="1:7" x14ac:dyDescent="0.3">
      <c r="A938">
        <v>937</v>
      </c>
      <c r="B938">
        <v>628</v>
      </c>
      <c r="C938" s="1">
        <v>45710</v>
      </c>
      <c r="D938" t="s">
        <v>15</v>
      </c>
      <c r="E938" t="s">
        <v>19</v>
      </c>
      <c r="F938" t="s">
        <v>25</v>
      </c>
      <c r="G938">
        <v>33</v>
      </c>
    </row>
    <row r="939" spans="1:7" x14ac:dyDescent="0.3">
      <c r="A939">
        <v>938</v>
      </c>
      <c r="B939">
        <v>628</v>
      </c>
      <c r="C939" s="1">
        <v>45710</v>
      </c>
      <c r="D939" t="s">
        <v>15</v>
      </c>
      <c r="E939" t="s">
        <v>19</v>
      </c>
      <c r="F939" t="s">
        <v>27</v>
      </c>
      <c r="G939">
        <v>42</v>
      </c>
    </row>
    <row r="940" spans="1:7" x14ac:dyDescent="0.3">
      <c r="A940">
        <v>939</v>
      </c>
      <c r="B940">
        <v>631</v>
      </c>
      <c r="C940" s="1">
        <v>45710</v>
      </c>
      <c r="D940" t="s">
        <v>20</v>
      </c>
      <c r="E940" t="s">
        <v>18</v>
      </c>
      <c r="F940" t="s">
        <v>30</v>
      </c>
      <c r="G940">
        <v>5</v>
      </c>
    </row>
    <row r="941" spans="1:7" x14ac:dyDescent="0.3">
      <c r="A941">
        <v>940</v>
      </c>
      <c r="B941">
        <v>632</v>
      </c>
      <c r="C941" s="1">
        <v>45710</v>
      </c>
      <c r="D941" t="s">
        <v>20</v>
      </c>
      <c r="E941" t="s">
        <v>19</v>
      </c>
      <c r="F941" t="s">
        <v>25</v>
      </c>
      <c r="G941">
        <v>62</v>
      </c>
    </row>
    <row r="942" spans="1:7" x14ac:dyDescent="0.3">
      <c r="A942">
        <v>941</v>
      </c>
      <c r="B942">
        <v>633</v>
      </c>
      <c r="C942" s="1">
        <v>45710</v>
      </c>
      <c r="D942" t="s">
        <v>21</v>
      </c>
      <c r="E942" t="s">
        <v>16</v>
      </c>
      <c r="F942" t="s">
        <v>25</v>
      </c>
      <c r="G942">
        <v>10</v>
      </c>
    </row>
    <row r="943" spans="1:7" x14ac:dyDescent="0.3">
      <c r="A943">
        <v>942</v>
      </c>
      <c r="B943">
        <v>633</v>
      </c>
      <c r="C943" s="1">
        <v>45710</v>
      </c>
      <c r="D943" t="s">
        <v>21</v>
      </c>
      <c r="E943" t="s">
        <v>16</v>
      </c>
      <c r="F943" t="s">
        <v>27</v>
      </c>
      <c r="G943">
        <v>5</v>
      </c>
    </row>
    <row r="944" spans="1:7" x14ac:dyDescent="0.3">
      <c r="A944">
        <v>943</v>
      </c>
      <c r="B944">
        <v>633</v>
      </c>
      <c r="C944" s="1">
        <v>45710</v>
      </c>
      <c r="D944" t="s">
        <v>21</v>
      </c>
      <c r="E944" t="s">
        <v>16</v>
      </c>
      <c r="F944" t="s">
        <v>25</v>
      </c>
      <c r="G944">
        <v>110</v>
      </c>
    </row>
    <row r="945" spans="1:7" x14ac:dyDescent="0.3">
      <c r="A945">
        <v>944</v>
      </c>
      <c r="B945">
        <v>633</v>
      </c>
      <c r="C945" s="1">
        <v>45710</v>
      </c>
      <c r="D945" t="s">
        <v>21</v>
      </c>
      <c r="E945" t="s">
        <v>16</v>
      </c>
      <c r="F945" t="s">
        <v>30</v>
      </c>
      <c r="G945">
        <v>20</v>
      </c>
    </row>
    <row r="946" spans="1:7" x14ac:dyDescent="0.3">
      <c r="A946">
        <v>945</v>
      </c>
      <c r="B946">
        <v>635</v>
      </c>
      <c r="C946" s="1">
        <v>45710</v>
      </c>
      <c r="D946" t="s">
        <v>21</v>
      </c>
      <c r="E946" t="s">
        <v>18</v>
      </c>
      <c r="F946" t="s">
        <v>27</v>
      </c>
      <c r="G946">
        <v>8</v>
      </c>
    </row>
    <row r="947" spans="1:7" x14ac:dyDescent="0.3">
      <c r="A947">
        <v>946</v>
      </c>
      <c r="B947">
        <v>636</v>
      </c>
      <c r="C947" s="1">
        <v>45710</v>
      </c>
      <c r="D947" t="s">
        <v>21</v>
      </c>
      <c r="E947" t="s">
        <v>19</v>
      </c>
      <c r="F947" t="s">
        <v>25</v>
      </c>
      <c r="G947">
        <v>232</v>
      </c>
    </row>
    <row r="948" spans="1:7" x14ac:dyDescent="0.3">
      <c r="A948">
        <v>947</v>
      </c>
      <c r="B948">
        <v>638</v>
      </c>
      <c r="C948" s="1">
        <v>45711</v>
      </c>
      <c r="D948" t="s">
        <v>15</v>
      </c>
      <c r="E948" t="s">
        <v>17</v>
      </c>
      <c r="F948" t="s">
        <v>26</v>
      </c>
      <c r="G948">
        <v>21</v>
      </c>
    </row>
    <row r="949" spans="1:7" x14ac:dyDescent="0.3">
      <c r="A949">
        <v>948</v>
      </c>
      <c r="B949">
        <v>638</v>
      </c>
      <c r="C949" s="1">
        <v>45711</v>
      </c>
      <c r="D949" t="s">
        <v>15</v>
      </c>
      <c r="E949" t="s">
        <v>17</v>
      </c>
      <c r="F949" t="s">
        <v>29</v>
      </c>
      <c r="G949">
        <v>50</v>
      </c>
    </row>
    <row r="950" spans="1:7" x14ac:dyDescent="0.3">
      <c r="A950">
        <v>949</v>
      </c>
      <c r="B950">
        <v>639</v>
      </c>
      <c r="C950" s="1">
        <v>45711</v>
      </c>
      <c r="D950" t="s">
        <v>15</v>
      </c>
      <c r="E950" t="s">
        <v>18</v>
      </c>
      <c r="F950" t="s">
        <v>28</v>
      </c>
      <c r="G950">
        <v>84</v>
      </c>
    </row>
    <row r="951" spans="1:7" x14ac:dyDescent="0.3">
      <c r="A951">
        <v>950</v>
      </c>
      <c r="B951">
        <v>639</v>
      </c>
      <c r="C951" s="1">
        <v>45711</v>
      </c>
      <c r="D951" t="s">
        <v>15</v>
      </c>
      <c r="E951" t="s">
        <v>18</v>
      </c>
      <c r="F951" t="s">
        <v>25</v>
      </c>
      <c r="G951">
        <v>34</v>
      </c>
    </row>
    <row r="952" spans="1:7" x14ac:dyDescent="0.3">
      <c r="A952">
        <v>951</v>
      </c>
      <c r="B952">
        <v>642</v>
      </c>
      <c r="C952" s="1">
        <v>45711</v>
      </c>
      <c r="D952" t="s">
        <v>20</v>
      </c>
      <c r="E952" t="s">
        <v>17</v>
      </c>
      <c r="F952" t="s">
        <v>25</v>
      </c>
      <c r="G952">
        <v>12</v>
      </c>
    </row>
    <row r="953" spans="1:7" x14ac:dyDescent="0.3">
      <c r="A953">
        <v>952</v>
      </c>
      <c r="B953">
        <v>642</v>
      </c>
      <c r="C953" s="1">
        <v>45711</v>
      </c>
      <c r="D953" t="s">
        <v>20</v>
      </c>
      <c r="E953" t="s">
        <v>17</v>
      </c>
      <c r="F953" t="s">
        <v>25</v>
      </c>
      <c r="G953">
        <v>5</v>
      </c>
    </row>
    <row r="954" spans="1:7" x14ac:dyDescent="0.3">
      <c r="A954">
        <v>953</v>
      </c>
      <c r="B954">
        <v>642</v>
      </c>
      <c r="C954" s="1">
        <v>45711</v>
      </c>
      <c r="D954" t="s">
        <v>20</v>
      </c>
      <c r="E954" t="s">
        <v>17</v>
      </c>
      <c r="F954" t="s">
        <v>25</v>
      </c>
      <c r="G954">
        <v>36</v>
      </c>
    </row>
    <row r="955" spans="1:7" x14ac:dyDescent="0.3">
      <c r="A955">
        <v>954</v>
      </c>
      <c r="B955">
        <v>643</v>
      </c>
      <c r="C955" s="1">
        <v>45711</v>
      </c>
      <c r="D955" t="s">
        <v>20</v>
      </c>
      <c r="E955" t="s">
        <v>18</v>
      </c>
      <c r="F955" t="s">
        <v>25</v>
      </c>
      <c r="G955">
        <v>5</v>
      </c>
    </row>
    <row r="956" spans="1:7" x14ac:dyDescent="0.3">
      <c r="A956">
        <v>955</v>
      </c>
      <c r="B956">
        <v>643</v>
      </c>
      <c r="C956" s="1">
        <v>45711</v>
      </c>
      <c r="D956" t="s">
        <v>20</v>
      </c>
      <c r="E956" t="s">
        <v>18</v>
      </c>
      <c r="F956" t="s">
        <v>28</v>
      </c>
      <c r="G956">
        <v>5</v>
      </c>
    </row>
    <row r="957" spans="1:7" x14ac:dyDescent="0.3">
      <c r="A957">
        <v>956</v>
      </c>
      <c r="B957">
        <v>643</v>
      </c>
      <c r="C957" s="1">
        <v>45711</v>
      </c>
      <c r="D957" t="s">
        <v>20</v>
      </c>
      <c r="E957" t="s">
        <v>18</v>
      </c>
      <c r="F957" t="s">
        <v>25</v>
      </c>
      <c r="G957">
        <v>15</v>
      </c>
    </row>
    <row r="958" spans="1:7" x14ac:dyDescent="0.3">
      <c r="A958">
        <v>957</v>
      </c>
      <c r="B958">
        <v>644</v>
      </c>
      <c r="C958" s="1">
        <v>45711</v>
      </c>
      <c r="D958" t="s">
        <v>20</v>
      </c>
      <c r="E958" t="s">
        <v>19</v>
      </c>
      <c r="F958" t="s">
        <v>26</v>
      </c>
      <c r="G958">
        <v>5</v>
      </c>
    </row>
    <row r="959" spans="1:7" x14ac:dyDescent="0.3">
      <c r="A959">
        <v>958</v>
      </c>
      <c r="B959">
        <v>647</v>
      </c>
      <c r="C959" s="1">
        <v>45711</v>
      </c>
      <c r="D959" t="s">
        <v>21</v>
      </c>
      <c r="E959" t="s">
        <v>18</v>
      </c>
      <c r="F959" t="s">
        <v>29</v>
      </c>
      <c r="G959">
        <v>5</v>
      </c>
    </row>
    <row r="960" spans="1:7" x14ac:dyDescent="0.3">
      <c r="A960">
        <v>959</v>
      </c>
      <c r="B960">
        <v>648</v>
      </c>
      <c r="C960" s="1">
        <v>45711</v>
      </c>
      <c r="D960" t="s">
        <v>21</v>
      </c>
      <c r="E960" t="s">
        <v>19</v>
      </c>
      <c r="F960" t="s">
        <v>25</v>
      </c>
      <c r="G960">
        <v>15</v>
      </c>
    </row>
    <row r="961" spans="1:7" x14ac:dyDescent="0.3">
      <c r="A961">
        <v>960</v>
      </c>
      <c r="B961">
        <v>648</v>
      </c>
      <c r="C961" s="1">
        <v>45711</v>
      </c>
      <c r="D961" t="s">
        <v>21</v>
      </c>
      <c r="E961" t="s">
        <v>19</v>
      </c>
      <c r="F961" t="s">
        <v>27</v>
      </c>
      <c r="G961">
        <v>9</v>
      </c>
    </row>
    <row r="962" spans="1:7" x14ac:dyDescent="0.3">
      <c r="A962">
        <v>961</v>
      </c>
      <c r="B962">
        <v>648</v>
      </c>
      <c r="C962" s="1">
        <v>45711</v>
      </c>
      <c r="D962" t="s">
        <v>21</v>
      </c>
      <c r="E962" t="s">
        <v>19</v>
      </c>
      <c r="F962" t="s">
        <v>27</v>
      </c>
      <c r="G962">
        <v>5</v>
      </c>
    </row>
    <row r="963" spans="1:7" x14ac:dyDescent="0.3">
      <c r="A963">
        <v>962</v>
      </c>
      <c r="B963">
        <v>648</v>
      </c>
      <c r="C963" s="1">
        <v>45711</v>
      </c>
      <c r="D963" t="s">
        <v>21</v>
      </c>
      <c r="E963" t="s">
        <v>19</v>
      </c>
      <c r="F963" t="s">
        <v>26</v>
      </c>
      <c r="G963">
        <v>5</v>
      </c>
    </row>
    <row r="964" spans="1:7" x14ac:dyDescent="0.3">
      <c r="A964">
        <v>963</v>
      </c>
      <c r="B964">
        <v>649</v>
      </c>
      <c r="C964" s="1">
        <v>45712</v>
      </c>
      <c r="D964" t="s">
        <v>15</v>
      </c>
      <c r="E964" t="s">
        <v>16</v>
      </c>
      <c r="F964" t="s">
        <v>27</v>
      </c>
      <c r="G964">
        <v>5</v>
      </c>
    </row>
    <row r="965" spans="1:7" x14ac:dyDescent="0.3">
      <c r="A965">
        <v>964</v>
      </c>
      <c r="B965">
        <v>649</v>
      </c>
      <c r="C965" s="1">
        <v>45712</v>
      </c>
      <c r="D965" t="s">
        <v>15</v>
      </c>
      <c r="E965" t="s">
        <v>16</v>
      </c>
      <c r="F965" t="s">
        <v>27</v>
      </c>
      <c r="G965">
        <v>10</v>
      </c>
    </row>
    <row r="966" spans="1:7" x14ac:dyDescent="0.3">
      <c r="A966">
        <v>965</v>
      </c>
      <c r="B966">
        <v>649</v>
      </c>
      <c r="C966" s="1">
        <v>45712</v>
      </c>
      <c r="D966" t="s">
        <v>15</v>
      </c>
      <c r="E966" t="s">
        <v>16</v>
      </c>
      <c r="F966" t="s">
        <v>25</v>
      </c>
      <c r="G966">
        <v>14</v>
      </c>
    </row>
    <row r="967" spans="1:7" x14ac:dyDescent="0.3">
      <c r="A967">
        <v>966</v>
      </c>
      <c r="B967">
        <v>650</v>
      </c>
      <c r="C967" s="1">
        <v>45712</v>
      </c>
      <c r="D967" t="s">
        <v>15</v>
      </c>
      <c r="E967" t="s">
        <v>17</v>
      </c>
      <c r="F967" t="s">
        <v>25</v>
      </c>
      <c r="G967">
        <v>22</v>
      </c>
    </row>
    <row r="968" spans="1:7" x14ac:dyDescent="0.3">
      <c r="A968">
        <v>967</v>
      </c>
      <c r="B968">
        <v>651</v>
      </c>
      <c r="C968" s="1">
        <v>45712</v>
      </c>
      <c r="D968" t="s">
        <v>15</v>
      </c>
      <c r="E968" t="s">
        <v>18</v>
      </c>
      <c r="F968" t="s">
        <v>28</v>
      </c>
      <c r="G968">
        <v>28</v>
      </c>
    </row>
    <row r="969" spans="1:7" x14ac:dyDescent="0.3">
      <c r="A969">
        <v>968</v>
      </c>
      <c r="B969">
        <v>652</v>
      </c>
      <c r="C969" s="1">
        <v>45712</v>
      </c>
      <c r="D969" t="s">
        <v>15</v>
      </c>
      <c r="E969" t="s">
        <v>19</v>
      </c>
      <c r="F969" t="s">
        <v>25</v>
      </c>
      <c r="G969">
        <v>125</v>
      </c>
    </row>
    <row r="970" spans="1:7" x14ac:dyDescent="0.3">
      <c r="A970">
        <v>969</v>
      </c>
      <c r="B970">
        <v>653</v>
      </c>
      <c r="C970" s="1">
        <v>45712</v>
      </c>
      <c r="D970" t="s">
        <v>20</v>
      </c>
      <c r="E970" t="s">
        <v>16</v>
      </c>
      <c r="F970" t="s">
        <v>25</v>
      </c>
      <c r="G970">
        <v>16</v>
      </c>
    </row>
    <row r="971" spans="1:7" x14ac:dyDescent="0.3">
      <c r="A971">
        <v>970</v>
      </c>
      <c r="B971">
        <v>653</v>
      </c>
      <c r="C971" s="1">
        <v>45712</v>
      </c>
      <c r="D971" t="s">
        <v>20</v>
      </c>
      <c r="E971" t="s">
        <v>16</v>
      </c>
      <c r="F971" t="s">
        <v>26</v>
      </c>
      <c r="G971">
        <v>13</v>
      </c>
    </row>
    <row r="972" spans="1:7" x14ac:dyDescent="0.3">
      <c r="A972">
        <v>971</v>
      </c>
      <c r="B972">
        <v>654</v>
      </c>
      <c r="C972" s="1">
        <v>45712</v>
      </c>
      <c r="D972" t="s">
        <v>20</v>
      </c>
      <c r="E972" t="s">
        <v>17</v>
      </c>
      <c r="F972" t="s">
        <v>25</v>
      </c>
      <c r="G972">
        <v>12</v>
      </c>
    </row>
    <row r="973" spans="1:7" x14ac:dyDescent="0.3">
      <c r="A973">
        <v>972</v>
      </c>
      <c r="B973">
        <v>654</v>
      </c>
      <c r="C973" s="1">
        <v>45712</v>
      </c>
      <c r="D973" t="s">
        <v>20</v>
      </c>
      <c r="E973" t="s">
        <v>17</v>
      </c>
      <c r="F973" t="s">
        <v>25</v>
      </c>
      <c r="G973">
        <v>46</v>
      </c>
    </row>
    <row r="974" spans="1:7" x14ac:dyDescent="0.3">
      <c r="A974">
        <v>973</v>
      </c>
      <c r="B974">
        <v>655</v>
      </c>
      <c r="C974" s="1">
        <v>45712</v>
      </c>
      <c r="D974" t="s">
        <v>20</v>
      </c>
      <c r="E974" t="s">
        <v>18</v>
      </c>
      <c r="F974" t="s">
        <v>27</v>
      </c>
      <c r="G974">
        <v>32</v>
      </c>
    </row>
    <row r="975" spans="1:7" x14ac:dyDescent="0.3">
      <c r="A975">
        <v>974</v>
      </c>
      <c r="B975">
        <v>655</v>
      </c>
      <c r="C975" s="1">
        <v>45712</v>
      </c>
      <c r="D975" t="s">
        <v>20</v>
      </c>
      <c r="E975" t="s">
        <v>18</v>
      </c>
      <c r="F975" t="s">
        <v>25</v>
      </c>
      <c r="G975">
        <v>5</v>
      </c>
    </row>
    <row r="976" spans="1:7" x14ac:dyDescent="0.3">
      <c r="A976">
        <v>975</v>
      </c>
      <c r="B976">
        <v>656</v>
      </c>
      <c r="C976" s="1">
        <v>45712</v>
      </c>
      <c r="D976" t="s">
        <v>20</v>
      </c>
      <c r="E976" t="s">
        <v>19</v>
      </c>
      <c r="F976" t="s">
        <v>26</v>
      </c>
      <c r="G976">
        <v>11</v>
      </c>
    </row>
    <row r="977" spans="1:7" x14ac:dyDescent="0.3">
      <c r="A977">
        <v>976</v>
      </c>
      <c r="B977">
        <v>657</v>
      </c>
      <c r="C977" s="1">
        <v>45712</v>
      </c>
      <c r="D977" t="s">
        <v>21</v>
      </c>
      <c r="E977" t="s">
        <v>16</v>
      </c>
      <c r="F977" t="s">
        <v>25</v>
      </c>
      <c r="G977">
        <v>7</v>
      </c>
    </row>
    <row r="978" spans="1:7" x14ac:dyDescent="0.3">
      <c r="A978">
        <v>977</v>
      </c>
      <c r="B978">
        <v>658</v>
      </c>
      <c r="C978" s="1">
        <v>45712</v>
      </c>
      <c r="D978" t="s">
        <v>21</v>
      </c>
      <c r="E978" t="s">
        <v>17</v>
      </c>
      <c r="F978" t="s">
        <v>27</v>
      </c>
      <c r="G978">
        <v>5</v>
      </c>
    </row>
    <row r="979" spans="1:7" x14ac:dyDescent="0.3">
      <c r="A979">
        <v>978</v>
      </c>
      <c r="B979">
        <v>660</v>
      </c>
      <c r="C979" s="1">
        <v>45712</v>
      </c>
      <c r="D979" t="s">
        <v>21</v>
      </c>
      <c r="E979" t="s">
        <v>19</v>
      </c>
      <c r="F979" t="s">
        <v>27</v>
      </c>
      <c r="G979">
        <v>5</v>
      </c>
    </row>
    <row r="980" spans="1:7" x14ac:dyDescent="0.3">
      <c r="A980">
        <v>979</v>
      </c>
      <c r="B980">
        <v>660</v>
      </c>
      <c r="C980" s="1">
        <v>45712</v>
      </c>
      <c r="D980" t="s">
        <v>21</v>
      </c>
      <c r="E980" t="s">
        <v>19</v>
      </c>
      <c r="F980" t="s">
        <v>25</v>
      </c>
      <c r="G980">
        <v>111</v>
      </c>
    </row>
    <row r="981" spans="1:7" x14ac:dyDescent="0.3">
      <c r="A981">
        <v>980</v>
      </c>
      <c r="B981">
        <v>660</v>
      </c>
      <c r="C981" s="1">
        <v>45712</v>
      </c>
      <c r="D981" t="s">
        <v>21</v>
      </c>
      <c r="E981" t="s">
        <v>19</v>
      </c>
      <c r="F981" t="s">
        <v>25</v>
      </c>
      <c r="G981">
        <v>20</v>
      </c>
    </row>
    <row r="982" spans="1:7" x14ac:dyDescent="0.3">
      <c r="A982">
        <v>981</v>
      </c>
      <c r="B982">
        <v>661</v>
      </c>
      <c r="C982" s="1">
        <v>45713</v>
      </c>
      <c r="D982" t="s">
        <v>15</v>
      </c>
      <c r="E982" t="s">
        <v>16</v>
      </c>
      <c r="F982" t="s">
        <v>25</v>
      </c>
      <c r="G982">
        <v>28</v>
      </c>
    </row>
    <row r="983" spans="1:7" x14ac:dyDescent="0.3">
      <c r="A983">
        <v>982</v>
      </c>
      <c r="B983">
        <v>661</v>
      </c>
      <c r="C983" s="1">
        <v>45713</v>
      </c>
      <c r="D983" t="s">
        <v>15</v>
      </c>
      <c r="E983" t="s">
        <v>16</v>
      </c>
      <c r="F983" t="s">
        <v>25</v>
      </c>
      <c r="G983">
        <v>61</v>
      </c>
    </row>
    <row r="984" spans="1:7" x14ac:dyDescent="0.3">
      <c r="A984">
        <v>983</v>
      </c>
      <c r="B984">
        <v>661</v>
      </c>
      <c r="C984" s="1">
        <v>45713</v>
      </c>
      <c r="D984" t="s">
        <v>15</v>
      </c>
      <c r="E984" t="s">
        <v>16</v>
      </c>
      <c r="F984" t="s">
        <v>29</v>
      </c>
      <c r="G984">
        <v>13</v>
      </c>
    </row>
    <row r="985" spans="1:7" x14ac:dyDescent="0.3">
      <c r="A985">
        <v>984</v>
      </c>
      <c r="B985">
        <v>661</v>
      </c>
      <c r="C985" s="1">
        <v>45713</v>
      </c>
      <c r="D985" t="s">
        <v>15</v>
      </c>
      <c r="E985" t="s">
        <v>16</v>
      </c>
      <c r="F985" t="s">
        <v>25</v>
      </c>
      <c r="G985">
        <v>146</v>
      </c>
    </row>
    <row r="986" spans="1:7" x14ac:dyDescent="0.3">
      <c r="A986">
        <v>985</v>
      </c>
      <c r="B986">
        <v>662</v>
      </c>
      <c r="C986" s="1">
        <v>45713</v>
      </c>
      <c r="D986" t="s">
        <v>15</v>
      </c>
      <c r="E986" t="s">
        <v>17</v>
      </c>
      <c r="F986" t="s">
        <v>30</v>
      </c>
      <c r="G986">
        <v>25</v>
      </c>
    </row>
    <row r="987" spans="1:7" x14ac:dyDescent="0.3">
      <c r="A987">
        <v>986</v>
      </c>
      <c r="B987">
        <v>662</v>
      </c>
      <c r="C987" s="1">
        <v>45713</v>
      </c>
      <c r="D987" t="s">
        <v>15</v>
      </c>
      <c r="E987" t="s">
        <v>17</v>
      </c>
      <c r="F987" t="s">
        <v>25</v>
      </c>
      <c r="G987">
        <v>25</v>
      </c>
    </row>
    <row r="988" spans="1:7" x14ac:dyDescent="0.3">
      <c r="A988">
        <v>987</v>
      </c>
      <c r="B988">
        <v>663</v>
      </c>
      <c r="C988" s="1">
        <v>45713</v>
      </c>
      <c r="D988" t="s">
        <v>15</v>
      </c>
      <c r="E988" t="s">
        <v>18</v>
      </c>
      <c r="F988" t="s">
        <v>25</v>
      </c>
      <c r="G988">
        <v>23</v>
      </c>
    </row>
    <row r="989" spans="1:7" x14ac:dyDescent="0.3">
      <c r="A989">
        <v>988</v>
      </c>
      <c r="B989">
        <v>663</v>
      </c>
      <c r="C989" s="1">
        <v>45713</v>
      </c>
      <c r="D989" t="s">
        <v>15</v>
      </c>
      <c r="E989" t="s">
        <v>18</v>
      </c>
      <c r="F989" t="s">
        <v>26</v>
      </c>
      <c r="G989">
        <v>17</v>
      </c>
    </row>
    <row r="990" spans="1:7" x14ac:dyDescent="0.3">
      <c r="A990">
        <v>989</v>
      </c>
      <c r="B990">
        <v>663</v>
      </c>
      <c r="C990" s="1">
        <v>45713</v>
      </c>
      <c r="D990" t="s">
        <v>15</v>
      </c>
      <c r="E990" t="s">
        <v>18</v>
      </c>
      <c r="F990" t="s">
        <v>26</v>
      </c>
      <c r="G990">
        <v>13</v>
      </c>
    </row>
    <row r="991" spans="1:7" x14ac:dyDescent="0.3">
      <c r="A991">
        <v>990</v>
      </c>
      <c r="B991">
        <v>663</v>
      </c>
      <c r="C991" s="1">
        <v>45713</v>
      </c>
      <c r="D991" t="s">
        <v>15</v>
      </c>
      <c r="E991" t="s">
        <v>18</v>
      </c>
      <c r="F991" t="s">
        <v>26</v>
      </c>
      <c r="G991">
        <v>6</v>
      </c>
    </row>
    <row r="992" spans="1:7" x14ac:dyDescent="0.3">
      <c r="A992">
        <v>991</v>
      </c>
      <c r="B992">
        <v>663</v>
      </c>
      <c r="C992" s="1">
        <v>45713</v>
      </c>
      <c r="D992" t="s">
        <v>15</v>
      </c>
      <c r="E992" t="s">
        <v>18</v>
      </c>
      <c r="F992" t="s">
        <v>26</v>
      </c>
      <c r="G992">
        <v>23</v>
      </c>
    </row>
    <row r="993" spans="1:7" x14ac:dyDescent="0.3">
      <c r="A993">
        <v>992</v>
      </c>
      <c r="B993">
        <v>663</v>
      </c>
      <c r="C993" s="1">
        <v>45713</v>
      </c>
      <c r="D993" t="s">
        <v>15</v>
      </c>
      <c r="E993" t="s">
        <v>18</v>
      </c>
      <c r="F993" t="s">
        <v>25</v>
      </c>
      <c r="G993">
        <v>15</v>
      </c>
    </row>
    <row r="994" spans="1:7" x14ac:dyDescent="0.3">
      <c r="A994">
        <v>993</v>
      </c>
      <c r="B994">
        <v>665</v>
      </c>
      <c r="C994" s="1">
        <v>45713</v>
      </c>
      <c r="D994" t="s">
        <v>20</v>
      </c>
      <c r="E994" t="s">
        <v>16</v>
      </c>
      <c r="F994" t="s">
        <v>29</v>
      </c>
      <c r="G994">
        <v>18</v>
      </c>
    </row>
    <row r="995" spans="1:7" x14ac:dyDescent="0.3">
      <c r="A995">
        <v>994</v>
      </c>
      <c r="B995">
        <v>665</v>
      </c>
      <c r="C995" s="1">
        <v>45713</v>
      </c>
      <c r="D995" t="s">
        <v>20</v>
      </c>
      <c r="E995" t="s">
        <v>16</v>
      </c>
      <c r="F995" t="s">
        <v>26</v>
      </c>
      <c r="G995">
        <v>8</v>
      </c>
    </row>
    <row r="996" spans="1:7" x14ac:dyDescent="0.3">
      <c r="A996">
        <v>995</v>
      </c>
      <c r="B996">
        <v>667</v>
      </c>
      <c r="C996" s="1">
        <v>45713</v>
      </c>
      <c r="D996" t="s">
        <v>20</v>
      </c>
      <c r="E996" t="s">
        <v>18</v>
      </c>
      <c r="F996" t="s">
        <v>30</v>
      </c>
      <c r="G996">
        <v>11</v>
      </c>
    </row>
    <row r="997" spans="1:7" x14ac:dyDescent="0.3">
      <c r="A997">
        <v>996</v>
      </c>
      <c r="B997">
        <v>667</v>
      </c>
      <c r="C997" s="1">
        <v>45713</v>
      </c>
      <c r="D997" t="s">
        <v>20</v>
      </c>
      <c r="E997" t="s">
        <v>18</v>
      </c>
      <c r="F997" t="s">
        <v>25</v>
      </c>
      <c r="G997">
        <v>58</v>
      </c>
    </row>
    <row r="998" spans="1:7" x14ac:dyDescent="0.3">
      <c r="A998">
        <v>997</v>
      </c>
      <c r="B998">
        <v>668</v>
      </c>
      <c r="C998" s="1">
        <v>45713</v>
      </c>
      <c r="D998" t="s">
        <v>20</v>
      </c>
      <c r="E998" t="s">
        <v>19</v>
      </c>
      <c r="F998" t="s">
        <v>26</v>
      </c>
      <c r="G998">
        <v>5</v>
      </c>
    </row>
    <row r="999" spans="1:7" x14ac:dyDescent="0.3">
      <c r="A999">
        <v>998</v>
      </c>
      <c r="B999">
        <v>668</v>
      </c>
      <c r="C999" s="1">
        <v>45713</v>
      </c>
      <c r="D999" t="s">
        <v>20</v>
      </c>
      <c r="E999" t="s">
        <v>19</v>
      </c>
      <c r="F999" t="s">
        <v>29</v>
      </c>
      <c r="G999">
        <v>5</v>
      </c>
    </row>
    <row r="1000" spans="1:7" x14ac:dyDescent="0.3">
      <c r="A1000">
        <v>999</v>
      </c>
      <c r="B1000">
        <v>668</v>
      </c>
      <c r="C1000" s="1">
        <v>45713</v>
      </c>
      <c r="D1000" t="s">
        <v>20</v>
      </c>
      <c r="E1000" t="s">
        <v>19</v>
      </c>
      <c r="F1000" t="s">
        <v>25</v>
      </c>
      <c r="G1000">
        <v>76</v>
      </c>
    </row>
    <row r="1001" spans="1:7" x14ac:dyDescent="0.3">
      <c r="A1001">
        <v>1000</v>
      </c>
      <c r="B1001">
        <v>669</v>
      </c>
      <c r="C1001" s="1">
        <v>45713</v>
      </c>
      <c r="D1001" t="s">
        <v>21</v>
      </c>
      <c r="E1001" t="s">
        <v>16</v>
      </c>
      <c r="F1001" t="s">
        <v>29</v>
      </c>
      <c r="G1001">
        <v>5</v>
      </c>
    </row>
    <row r="1002" spans="1:7" x14ac:dyDescent="0.3">
      <c r="A1002">
        <v>1001</v>
      </c>
      <c r="B1002">
        <v>669</v>
      </c>
      <c r="C1002" s="1">
        <v>45713</v>
      </c>
      <c r="D1002" t="s">
        <v>21</v>
      </c>
      <c r="E1002" t="s">
        <v>16</v>
      </c>
      <c r="F1002" t="s">
        <v>30</v>
      </c>
      <c r="G1002">
        <v>28</v>
      </c>
    </row>
    <row r="1003" spans="1:7" x14ac:dyDescent="0.3">
      <c r="A1003">
        <v>1002</v>
      </c>
      <c r="B1003">
        <v>671</v>
      </c>
      <c r="C1003" s="1">
        <v>45713</v>
      </c>
      <c r="D1003" t="s">
        <v>21</v>
      </c>
      <c r="E1003" t="s">
        <v>18</v>
      </c>
      <c r="F1003" t="s">
        <v>25</v>
      </c>
      <c r="G1003">
        <v>5</v>
      </c>
    </row>
    <row r="1004" spans="1:7" x14ac:dyDescent="0.3">
      <c r="A1004">
        <v>1003</v>
      </c>
      <c r="B1004">
        <v>672</v>
      </c>
      <c r="C1004" s="1">
        <v>45713</v>
      </c>
      <c r="D1004" t="s">
        <v>21</v>
      </c>
      <c r="E1004" t="s">
        <v>19</v>
      </c>
      <c r="F1004" t="s">
        <v>28</v>
      </c>
      <c r="G1004">
        <v>44</v>
      </c>
    </row>
    <row r="1005" spans="1:7" x14ac:dyDescent="0.3">
      <c r="A1005">
        <v>1004</v>
      </c>
      <c r="B1005">
        <v>672</v>
      </c>
      <c r="C1005" s="1">
        <v>45713</v>
      </c>
      <c r="D1005" t="s">
        <v>21</v>
      </c>
      <c r="E1005" t="s">
        <v>19</v>
      </c>
      <c r="F1005" t="s">
        <v>25</v>
      </c>
      <c r="G1005">
        <v>5</v>
      </c>
    </row>
    <row r="1006" spans="1:7" x14ac:dyDescent="0.3">
      <c r="A1006">
        <v>1005</v>
      </c>
      <c r="B1006">
        <v>672</v>
      </c>
      <c r="C1006" s="1">
        <v>45713</v>
      </c>
      <c r="D1006" t="s">
        <v>21</v>
      </c>
      <c r="E1006" t="s">
        <v>19</v>
      </c>
      <c r="F1006" t="s">
        <v>26</v>
      </c>
      <c r="G1006">
        <v>5</v>
      </c>
    </row>
    <row r="1007" spans="1:7" x14ac:dyDescent="0.3">
      <c r="A1007">
        <v>1006</v>
      </c>
      <c r="B1007">
        <v>672</v>
      </c>
      <c r="C1007" s="1">
        <v>45713</v>
      </c>
      <c r="D1007" t="s">
        <v>21</v>
      </c>
      <c r="E1007" t="s">
        <v>19</v>
      </c>
      <c r="F1007" t="s">
        <v>25</v>
      </c>
      <c r="G1007">
        <v>34</v>
      </c>
    </row>
    <row r="1008" spans="1:7" x14ac:dyDescent="0.3">
      <c r="A1008">
        <v>1007</v>
      </c>
      <c r="B1008">
        <v>674</v>
      </c>
      <c r="C1008" s="1">
        <v>45714</v>
      </c>
      <c r="D1008" t="s">
        <v>15</v>
      </c>
      <c r="E1008" t="s">
        <v>17</v>
      </c>
      <c r="F1008" t="s">
        <v>26</v>
      </c>
      <c r="G1008">
        <v>29</v>
      </c>
    </row>
    <row r="1009" spans="1:7" x14ac:dyDescent="0.3">
      <c r="A1009">
        <v>1008</v>
      </c>
      <c r="B1009">
        <v>674</v>
      </c>
      <c r="C1009" s="1">
        <v>45714</v>
      </c>
      <c r="D1009" t="s">
        <v>15</v>
      </c>
      <c r="E1009" t="s">
        <v>17</v>
      </c>
      <c r="F1009" t="s">
        <v>26</v>
      </c>
      <c r="G1009">
        <v>20</v>
      </c>
    </row>
    <row r="1010" spans="1:7" x14ac:dyDescent="0.3">
      <c r="A1010">
        <v>1009</v>
      </c>
      <c r="B1010">
        <v>674</v>
      </c>
      <c r="C1010" s="1">
        <v>45714</v>
      </c>
      <c r="D1010" t="s">
        <v>15</v>
      </c>
      <c r="E1010" t="s">
        <v>17</v>
      </c>
      <c r="F1010" t="s">
        <v>27</v>
      </c>
      <c r="G1010">
        <v>8</v>
      </c>
    </row>
    <row r="1011" spans="1:7" x14ac:dyDescent="0.3">
      <c r="A1011">
        <v>1010</v>
      </c>
      <c r="B1011">
        <v>674</v>
      </c>
      <c r="C1011" s="1">
        <v>45714</v>
      </c>
      <c r="D1011" t="s">
        <v>15</v>
      </c>
      <c r="E1011" t="s">
        <v>17</v>
      </c>
      <c r="F1011" t="s">
        <v>27</v>
      </c>
      <c r="G1011">
        <v>5</v>
      </c>
    </row>
    <row r="1012" spans="1:7" x14ac:dyDescent="0.3">
      <c r="A1012">
        <v>1011</v>
      </c>
      <c r="B1012">
        <v>674</v>
      </c>
      <c r="C1012" s="1">
        <v>45714</v>
      </c>
      <c r="D1012" t="s">
        <v>15</v>
      </c>
      <c r="E1012" t="s">
        <v>17</v>
      </c>
      <c r="F1012" t="s">
        <v>30</v>
      </c>
      <c r="G1012">
        <v>5</v>
      </c>
    </row>
    <row r="1013" spans="1:7" x14ac:dyDescent="0.3">
      <c r="A1013">
        <v>1012</v>
      </c>
      <c r="B1013">
        <v>675</v>
      </c>
      <c r="C1013" s="1">
        <v>45714</v>
      </c>
      <c r="D1013" t="s">
        <v>15</v>
      </c>
      <c r="E1013" t="s">
        <v>18</v>
      </c>
      <c r="F1013" t="s">
        <v>27</v>
      </c>
      <c r="G1013">
        <v>8</v>
      </c>
    </row>
    <row r="1014" spans="1:7" x14ac:dyDescent="0.3">
      <c r="A1014">
        <v>1013</v>
      </c>
      <c r="B1014">
        <v>675</v>
      </c>
      <c r="C1014" s="1">
        <v>45714</v>
      </c>
      <c r="D1014" t="s">
        <v>15</v>
      </c>
      <c r="E1014" t="s">
        <v>18</v>
      </c>
      <c r="F1014" t="s">
        <v>28</v>
      </c>
      <c r="G1014">
        <v>153</v>
      </c>
    </row>
    <row r="1015" spans="1:7" x14ac:dyDescent="0.3">
      <c r="A1015">
        <v>1014</v>
      </c>
      <c r="B1015">
        <v>676</v>
      </c>
      <c r="C1015" s="1">
        <v>45714</v>
      </c>
      <c r="D1015" t="s">
        <v>15</v>
      </c>
      <c r="E1015" t="s">
        <v>19</v>
      </c>
      <c r="F1015" t="s">
        <v>27</v>
      </c>
      <c r="G1015">
        <v>8</v>
      </c>
    </row>
    <row r="1016" spans="1:7" x14ac:dyDescent="0.3">
      <c r="A1016">
        <v>1015</v>
      </c>
      <c r="B1016">
        <v>677</v>
      </c>
      <c r="C1016" s="1">
        <v>45714</v>
      </c>
      <c r="D1016" t="s">
        <v>20</v>
      </c>
      <c r="E1016" t="s">
        <v>16</v>
      </c>
      <c r="F1016" t="s">
        <v>25</v>
      </c>
      <c r="G1016">
        <v>161</v>
      </c>
    </row>
    <row r="1017" spans="1:7" x14ac:dyDescent="0.3">
      <c r="A1017">
        <v>1016</v>
      </c>
      <c r="B1017">
        <v>677</v>
      </c>
      <c r="C1017" s="1">
        <v>45714</v>
      </c>
      <c r="D1017" t="s">
        <v>20</v>
      </c>
      <c r="E1017" t="s">
        <v>16</v>
      </c>
      <c r="F1017" t="s">
        <v>27</v>
      </c>
      <c r="G1017">
        <v>19</v>
      </c>
    </row>
    <row r="1018" spans="1:7" x14ac:dyDescent="0.3">
      <c r="A1018">
        <v>1017</v>
      </c>
      <c r="B1018">
        <v>678</v>
      </c>
      <c r="C1018" s="1">
        <v>45714</v>
      </c>
      <c r="D1018" t="s">
        <v>20</v>
      </c>
      <c r="E1018" t="s">
        <v>17</v>
      </c>
      <c r="F1018" t="s">
        <v>25</v>
      </c>
      <c r="G1018">
        <v>81</v>
      </c>
    </row>
    <row r="1019" spans="1:7" x14ac:dyDescent="0.3">
      <c r="A1019">
        <v>1018</v>
      </c>
      <c r="B1019">
        <v>679</v>
      </c>
      <c r="C1019" s="1">
        <v>45714</v>
      </c>
      <c r="D1019" t="s">
        <v>20</v>
      </c>
      <c r="E1019" t="s">
        <v>18</v>
      </c>
      <c r="F1019" t="s">
        <v>27</v>
      </c>
      <c r="G1019">
        <v>5</v>
      </c>
    </row>
    <row r="1020" spans="1:7" x14ac:dyDescent="0.3">
      <c r="A1020">
        <v>1019</v>
      </c>
      <c r="B1020">
        <v>679</v>
      </c>
      <c r="C1020" s="1">
        <v>45714</v>
      </c>
      <c r="D1020" t="s">
        <v>20</v>
      </c>
      <c r="E1020" t="s">
        <v>18</v>
      </c>
      <c r="F1020" t="s">
        <v>25</v>
      </c>
      <c r="G1020">
        <v>5</v>
      </c>
    </row>
    <row r="1021" spans="1:7" x14ac:dyDescent="0.3">
      <c r="A1021">
        <v>1020</v>
      </c>
      <c r="B1021">
        <v>681</v>
      </c>
      <c r="C1021" s="1">
        <v>45714</v>
      </c>
      <c r="D1021" t="s">
        <v>21</v>
      </c>
      <c r="E1021" t="s">
        <v>16</v>
      </c>
      <c r="F1021" t="s">
        <v>25</v>
      </c>
      <c r="G1021">
        <v>26</v>
      </c>
    </row>
    <row r="1022" spans="1:7" x14ac:dyDescent="0.3">
      <c r="A1022">
        <v>1021</v>
      </c>
      <c r="B1022">
        <v>682</v>
      </c>
      <c r="C1022" s="1">
        <v>45714</v>
      </c>
      <c r="D1022" t="s">
        <v>21</v>
      </c>
      <c r="E1022" t="s">
        <v>17</v>
      </c>
      <c r="F1022" t="s">
        <v>25</v>
      </c>
      <c r="G1022">
        <v>20</v>
      </c>
    </row>
    <row r="1023" spans="1:7" x14ac:dyDescent="0.3">
      <c r="A1023">
        <v>1022</v>
      </c>
      <c r="B1023">
        <v>683</v>
      </c>
      <c r="C1023" s="1">
        <v>45714</v>
      </c>
      <c r="D1023" t="s">
        <v>21</v>
      </c>
      <c r="E1023" t="s">
        <v>18</v>
      </c>
      <c r="F1023" t="s">
        <v>26</v>
      </c>
      <c r="G1023">
        <v>18</v>
      </c>
    </row>
    <row r="1024" spans="1:7" x14ac:dyDescent="0.3">
      <c r="A1024">
        <v>1023</v>
      </c>
      <c r="B1024">
        <v>683</v>
      </c>
      <c r="C1024" s="1">
        <v>45714</v>
      </c>
      <c r="D1024" t="s">
        <v>21</v>
      </c>
      <c r="E1024" t="s">
        <v>18</v>
      </c>
      <c r="F1024" t="s">
        <v>27</v>
      </c>
      <c r="G1024">
        <v>28</v>
      </c>
    </row>
    <row r="1025" spans="1:7" x14ac:dyDescent="0.3">
      <c r="A1025">
        <v>1024</v>
      </c>
      <c r="B1025">
        <v>683</v>
      </c>
      <c r="C1025" s="1">
        <v>45714</v>
      </c>
      <c r="D1025" t="s">
        <v>21</v>
      </c>
      <c r="E1025" t="s">
        <v>18</v>
      </c>
      <c r="F1025" t="s">
        <v>25</v>
      </c>
      <c r="G1025">
        <v>17</v>
      </c>
    </row>
    <row r="1026" spans="1:7" x14ac:dyDescent="0.3">
      <c r="A1026">
        <v>1025</v>
      </c>
      <c r="B1026">
        <v>683</v>
      </c>
      <c r="C1026" s="1">
        <v>45714</v>
      </c>
      <c r="D1026" t="s">
        <v>21</v>
      </c>
      <c r="E1026" t="s">
        <v>18</v>
      </c>
      <c r="F1026" t="s">
        <v>29</v>
      </c>
      <c r="G1026">
        <v>5</v>
      </c>
    </row>
    <row r="1027" spans="1:7" x14ac:dyDescent="0.3">
      <c r="A1027">
        <v>1026</v>
      </c>
      <c r="B1027">
        <v>683</v>
      </c>
      <c r="C1027" s="1">
        <v>45714</v>
      </c>
      <c r="D1027" t="s">
        <v>21</v>
      </c>
      <c r="E1027" t="s">
        <v>18</v>
      </c>
      <c r="F1027" t="s">
        <v>27</v>
      </c>
      <c r="G1027">
        <v>48</v>
      </c>
    </row>
    <row r="1028" spans="1:7" x14ac:dyDescent="0.3">
      <c r="A1028">
        <v>1027</v>
      </c>
      <c r="B1028">
        <v>684</v>
      </c>
      <c r="C1028" s="1">
        <v>45714</v>
      </c>
      <c r="D1028" t="s">
        <v>21</v>
      </c>
      <c r="E1028" t="s">
        <v>19</v>
      </c>
      <c r="F1028" t="s">
        <v>29</v>
      </c>
      <c r="G1028">
        <v>20</v>
      </c>
    </row>
    <row r="1029" spans="1:7" x14ac:dyDescent="0.3">
      <c r="A1029">
        <v>1028</v>
      </c>
      <c r="B1029">
        <v>686</v>
      </c>
      <c r="C1029" s="1">
        <v>45715</v>
      </c>
      <c r="D1029" t="s">
        <v>15</v>
      </c>
      <c r="E1029" t="s">
        <v>17</v>
      </c>
      <c r="F1029" t="s">
        <v>26</v>
      </c>
      <c r="G1029">
        <v>80</v>
      </c>
    </row>
    <row r="1030" spans="1:7" x14ac:dyDescent="0.3">
      <c r="A1030">
        <v>1029</v>
      </c>
      <c r="B1030">
        <v>687</v>
      </c>
      <c r="C1030" s="1">
        <v>45715</v>
      </c>
      <c r="D1030" t="s">
        <v>15</v>
      </c>
      <c r="E1030" t="s">
        <v>18</v>
      </c>
      <c r="F1030" t="s">
        <v>29</v>
      </c>
      <c r="G1030">
        <v>26</v>
      </c>
    </row>
    <row r="1031" spans="1:7" x14ac:dyDescent="0.3">
      <c r="A1031">
        <v>1030</v>
      </c>
      <c r="B1031">
        <v>687</v>
      </c>
      <c r="C1031" s="1">
        <v>45715</v>
      </c>
      <c r="D1031" t="s">
        <v>15</v>
      </c>
      <c r="E1031" t="s">
        <v>18</v>
      </c>
      <c r="F1031" t="s">
        <v>29</v>
      </c>
      <c r="G1031">
        <v>24</v>
      </c>
    </row>
    <row r="1032" spans="1:7" x14ac:dyDescent="0.3">
      <c r="A1032">
        <v>1031</v>
      </c>
      <c r="B1032">
        <v>689</v>
      </c>
      <c r="C1032" s="1">
        <v>45715</v>
      </c>
      <c r="D1032" t="s">
        <v>20</v>
      </c>
      <c r="E1032" t="s">
        <v>16</v>
      </c>
      <c r="F1032" t="s">
        <v>25</v>
      </c>
      <c r="G1032">
        <v>63</v>
      </c>
    </row>
    <row r="1033" spans="1:7" x14ac:dyDescent="0.3">
      <c r="A1033">
        <v>1032</v>
      </c>
      <c r="B1033">
        <v>690</v>
      </c>
      <c r="C1033" s="1">
        <v>45715</v>
      </c>
      <c r="D1033" t="s">
        <v>20</v>
      </c>
      <c r="E1033" t="s">
        <v>17</v>
      </c>
      <c r="F1033" t="s">
        <v>25</v>
      </c>
      <c r="G1033">
        <v>28</v>
      </c>
    </row>
    <row r="1034" spans="1:7" x14ac:dyDescent="0.3">
      <c r="A1034">
        <v>1033</v>
      </c>
      <c r="B1034">
        <v>692</v>
      </c>
      <c r="C1034" s="1">
        <v>45715</v>
      </c>
      <c r="D1034" t="s">
        <v>20</v>
      </c>
      <c r="E1034" t="s">
        <v>19</v>
      </c>
      <c r="F1034" t="s">
        <v>25</v>
      </c>
      <c r="G1034">
        <v>5</v>
      </c>
    </row>
    <row r="1035" spans="1:7" x14ac:dyDescent="0.3">
      <c r="A1035">
        <v>1034</v>
      </c>
      <c r="B1035">
        <v>692</v>
      </c>
      <c r="C1035" s="1">
        <v>45715</v>
      </c>
      <c r="D1035" t="s">
        <v>20</v>
      </c>
      <c r="E1035" t="s">
        <v>19</v>
      </c>
      <c r="F1035" t="s">
        <v>27</v>
      </c>
      <c r="G1035">
        <v>33</v>
      </c>
    </row>
    <row r="1036" spans="1:7" x14ac:dyDescent="0.3">
      <c r="A1036">
        <v>1035</v>
      </c>
      <c r="B1036">
        <v>693</v>
      </c>
      <c r="C1036" s="1">
        <v>45715</v>
      </c>
      <c r="D1036" t="s">
        <v>21</v>
      </c>
      <c r="E1036" t="s">
        <v>16</v>
      </c>
      <c r="F1036" t="s">
        <v>30</v>
      </c>
      <c r="G1036">
        <v>5</v>
      </c>
    </row>
    <row r="1037" spans="1:7" x14ac:dyDescent="0.3">
      <c r="A1037">
        <v>1036</v>
      </c>
      <c r="B1037">
        <v>693</v>
      </c>
      <c r="C1037" s="1">
        <v>45715</v>
      </c>
      <c r="D1037" t="s">
        <v>21</v>
      </c>
      <c r="E1037" t="s">
        <v>16</v>
      </c>
      <c r="F1037" t="s">
        <v>28</v>
      </c>
      <c r="G1037">
        <v>83</v>
      </c>
    </row>
    <row r="1038" spans="1:7" x14ac:dyDescent="0.3">
      <c r="A1038">
        <v>1037</v>
      </c>
      <c r="B1038">
        <v>694</v>
      </c>
      <c r="C1038" s="1">
        <v>45715</v>
      </c>
      <c r="D1038" t="s">
        <v>21</v>
      </c>
      <c r="E1038" t="s">
        <v>17</v>
      </c>
      <c r="F1038" t="s">
        <v>25</v>
      </c>
      <c r="G1038">
        <v>54</v>
      </c>
    </row>
    <row r="1039" spans="1:7" x14ac:dyDescent="0.3">
      <c r="A1039">
        <v>1038</v>
      </c>
      <c r="B1039">
        <v>694</v>
      </c>
      <c r="C1039" s="1">
        <v>45715</v>
      </c>
      <c r="D1039" t="s">
        <v>21</v>
      </c>
      <c r="E1039" t="s">
        <v>17</v>
      </c>
      <c r="F1039" t="s">
        <v>30</v>
      </c>
      <c r="G1039">
        <v>39</v>
      </c>
    </row>
    <row r="1040" spans="1:7" x14ac:dyDescent="0.3">
      <c r="A1040">
        <v>1039</v>
      </c>
      <c r="B1040">
        <v>695</v>
      </c>
      <c r="C1040" s="1">
        <v>45715</v>
      </c>
      <c r="D1040" t="s">
        <v>21</v>
      </c>
      <c r="E1040" t="s">
        <v>18</v>
      </c>
      <c r="F1040" t="s">
        <v>27</v>
      </c>
      <c r="G1040">
        <v>6</v>
      </c>
    </row>
    <row r="1041" spans="1:7" x14ac:dyDescent="0.3">
      <c r="A1041">
        <v>1040</v>
      </c>
      <c r="B1041">
        <v>696</v>
      </c>
      <c r="C1041" s="1">
        <v>45715</v>
      </c>
      <c r="D1041" t="s">
        <v>21</v>
      </c>
      <c r="E1041" t="s">
        <v>19</v>
      </c>
      <c r="F1041" t="s">
        <v>30</v>
      </c>
      <c r="G1041">
        <v>8</v>
      </c>
    </row>
    <row r="1042" spans="1:7" x14ac:dyDescent="0.3">
      <c r="A1042">
        <v>1041</v>
      </c>
      <c r="B1042">
        <v>696</v>
      </c>
      <c r="C1042" s="1">
        <v>45715</v>
      </c>
      <c r="D1042" t="s">
        <v>21</v>
      </c>
      <c r="E1042" t="s">
        <v>19</v>
      </c>
      <c r="F1042" t="s">
        <v>29</v>
      </c>
      <c r="G1042">
        <v>5</v>
      </c>
    </row>
    <row r="1043" spans="1:7" x14ac:dyDescent="0.3">
      <c r="A1043">
        <v>1042</v>
      </c>
      <c r="B1043">
        <v>696</v>
      </c>
      <c r="C1043" s="1">
        <v>45715</v>
      </c>
      <c r="D1043" t="s">
        <v>21</v>
      </c>
      <c r="E1043" t="s">
        <v>19</v>
      </c>
      <c r="F1043" t="s">
        <v>28</v>
      </c>
      <c r="G1043">
        <v>14</v>
      </c>
    </row>
    <row r="1044" spans="1:7" x14ac:dyDescent="0.3">
      <c r="A1044">
        <v>1043</v>
      </c>
      <c r="B1044">
        <v>697</v>
      </c>
      <c r="C1044" s="1">
        <v>45716</v>
      </c>
      <c r="D1044" t="s">
        <v>15</v>
      </c>
      <c r="E1044" t="s">
        <v>16</v>
      </c>
      <c r="F1044" t="s">
        <v>26</v>
      </c>
      <c r="G1044">
        <v>7</v>
      </c>
    </row>
    <row r="1045" spans="1:7" x14ac:dyDescent="0.3">
      <c r="A1045">
        <v>1044</v>
      </c>
      <c r="B1045">
        <v>697</v>
      </c>
      <c r="C1045" s="1">
        <v>45716</v>
      </c>
      <c r="D1045" t="s">
        <v>15</v>
      </c>
      <c r="E1045" t="s">
        <v>16</v>
      </c>
      <c r="F1045" t="s">
        <v>25</v>
      </c>
      <c r="G1045">
        <v>16</v>
      </c>
    </row>
    <row r="1046" spans="1:7" x14ac:dyDescent="0.3">
      <c r="A1046">
        <v>1045</v>
      </c>
      <c r="B1046">
        <v>698</v>
      </c>
      <c r="C1046" s="1">
        <v>45716</v>
      </c>
      <c r="D1046" t="s">
        <v>15</v>
      </c>
      <c r="E1046" t="s">
        <v>17</v>
      </c>
      <c r="F1046" t="s">
        <v>25</v>
      </c>
      <c r="G1046">
        <v>39</v>
      </c>
    </row>
    <row r="1047" spans="1:7" x14ac:dyDescent="0.3">
      <c r="A1047">
        <v>1046</v>
      </c>
      <c r="B1047">
        <v>699</v>
      </c>
      <c r="C1047" s="1">
        <v>45716</v>
      </c>
      <c r="D1047" t="s">
        <v>15</v>
      </c>
      <c r="E1047" t="s">
        <v>18</v>
      </c>
      <c r="F1047" t="s">
        <v>26</v>
      </c>
      <c r="G1047">
        <v>15</v>
      </c>
    </row>
    <row r="1048" spans="1:7" x14ac:dyDescent="0.3">
      <c r="A1048">
        <v>1047</v>
      </c>
      <c r="B1048">
        <v>699</v>
      </c>
      <c r="C1048" s="1">
        <v>45716</v>
      </c>
      <c r="D1048" t="s">
        <v>15</v>
      </c>
      <c r="E1048" t="s">
        <v>18</v>
      </c>
      <c r="F1048" t="s">
        <v>27</v>
      </c>
      <c r="G1048">
        <v>5</v>
      </c>
    </row>
    <row r="1049" spans="1:7" x14ac:dyDescent="0.3">
      <c r="A1049">
        <v>1048</v>
      </c>
      <c r="B1049">
        <v>701</v>
      </c>
      <c r="C1049" s="1">
        <v>45716</v>
      </c>
      <c r="D1049" t="s">
        <v>20</v>
      </c>
      <c r="E1049" t="s">
        <v>16</v>
      </c>
      <c r="F1049" t="s">
        <v>29</v>
      </c>
      <c r="G1049">
        <v>31</v>
      </c>
    </row>
    <row r="1050" spans="1:7" x14ac:dyDescent="0.3">
      <c r="A1050">
        <v>1049</v>
      </c>
      <c r="B1050">
        <v>702</v>
      </c>
      <c r="C1050" s="1">
        <v>45716</v>
      </c>
      <c r="D1050" t="s">
        <v>20</v>
      </c>
      <c r="E1050" t="s">
        <v>17</v>
      </c>
      <c r="F1050" t="s">
        <v>27</v>
      </c>
      <c r="G1050">
        <v>68</v>
      </c>
    </row>
    <row r="1051" spans="1:7" x14ac:dyDescent="0.3">
      <c r="A1051">
        <v>1050</v>
      </c>
      <c r="B1051">
        <v>702</v>
      </c>
      <c r="C1051" s="1">
        <v>45716</v>
      </c>
      <c r="D1051" t="s">
        <v>20</v>
      </c>
      <c r="E1051" t="s">
        <v>17</v>
      </c>
      <c r="F1051" t="s">
        <v>26</v>
      </c>
      <c r="G1051">
        <v>5</v>
      </c>
    </row>
    <row r="1052" spans="1:7" x14ac:dyDescent="0.3">
      <c r="A1052">
        <v>1051</v>
      </c>
      <c r="B1052">
        <v>704</v>
      </c>
      <c r="C1052" s="1">
        <v>45716</v>
      </c>
      <c r="D1052" t="s">
        <v>20</v>
      </c>
      <c r="E1052" t="s">
        <v>19</v>
      </c>
      <c r="F1052" t="s">
        <v>30</v>
      </c>
      <c r="G1052">
        <v>12</v>
      </c>
    </row>
    <row r="1053" spans="1:7" x14ac:dyDescent="0.3">
      <c r="A1053">
        <v>1052</v>
      </c>
      <c r="B1053">
        <v>705</v>
      </c>
      <c r="C1053" s="1">
        <v>45716</v>
      </c>
      <c r="D1053" t="s">
        <v>21</v>
      </c>
      <c r="E1053" t="s">
        <v>16</v>
      </c>
      <c r="F1053" t="s">
        <v>27</v>
      </c>
      <c r="G1053">
        <v>39</v>
      </c>
    </row>
    <row r="1054" spans="1:7" x14ac:dyDescent="0.3">
      <c r="A1054">
        <v>1053</v>
      </c>
      <c r="B1054">
        <v>707</v>
      </c>
      <c r="C1054" s="1">
        <v>45716</v>
      </c>
      <c r="D1054" t="s">
        <v>21</v>
      </c>
      <c r="E1054" t="s">
        <v>18</v>
      </c>
      <c r="F1054" t="s">
        <v>25</v>
      </c>
      <c r="G1054">
        <v>18</v>
      </c>
    </row>
    <row r="1055" spans="1:7" x14ac:dyDescent="0.3">
      <c r="A1055">
        <v>1054</v>
      </c>
      <c r="B1055">
        <v>708</v>
      </c>
      <c r="C1055" s="1">
        <v>45716</v>
      </c>
      <c r="D1055" t="s">
        <v>21</v>
      </c>
      <c r="E1055" t="s">
        <v>19</v>
      </c>
      <c r="F1055" t="s">
        <v>29</v>
      </c>
      <c r="G1055">
        <v>15</v>
      </c>
    </row>
    <row r="1056" spans="1:7" x14ac:dyDescent="0.3">
      <c r="A1056">
        <v>1055</v>
      </c>
      <c r="B1056">
        <v>708</v>
      </c>
      <c r="C1056" s="1">
        <v>45716</v>
      </c>
      <c r="D1056" t="s">
        <v>21</v>
      </c>
      <c r="E1056" t="s">
        <v>19</v>
      </c>
      <c r="F1056" t="s">
        <v>26</v>
      </c>
      <c r="G1056">
        <v>123</v>
      </c>
    </row>
    <row r="1057" spans="1:7" x14ac:dyDescent="0.3">
      <c r="A1057">
        <v>1056</v>
      </c>
      <c r="B1057">
        <v>709</v>
      </c>
      <c r="C1057" s="1">
        <v>45717</v>
      </c>
      <c r="D1057" t="s">
        <v>15</v>
      </c>
      <c r="E1057" t="s">
        <v>16</v>
      </c>
      <c r="F1057" t="s">
        <v>25</v>
      </c>
      <c r="G1057">
        <v>5</v>
      </c>
    </row>
    <row r="1058" spans="1:7" x14ac:dyDescent="0.3">
      <c r="A1058">
        <v>1057</v>
      </c>
      <c r="B1058">
        <v>711</v>
      </c>
      <c r="C1058" s="1">
        <v>45717</v>
      </c>
      <c r="D1058" t="s">
        <v>15</v>
      </c>
      <c r="E1058" t="s">
        <v>18</v>
      </c>
      <c r="F1058" t="s">
        <v>30</v>
      </c>
      <c r="G1058">
        <v>5</v>
      </c>
    </row>
    <row r="1059" spans="1:7" x14ac:dyDescent="0.3">
      <c r="A1059">
        <v>1058</v>
      </c>
      <c r="B1059">
        <v>712</v>
      </c>
      <c r="C1059" s="1">
        <v>45717</v>
      </c>
      <c r="D1059" t="s">
        <v>15</v>
      </c>
      <c r="E1059" t="s">
        <v>19</v>
      </c>
      <c r="F1059" t="s">
        <v>27</v>
      </c>
      <c r="G1059">
        <v>43</v>
      </c>
    </row>
    <row r="1060" spans="1:7" x14ac:dyDescent="0.3">
      <c r="A1060">
        <v>1059</v>
      </c>
      <c r="B1060">
        <v>712</v>
      </c>
      <c r="C1060" s="1">
        <v>45717</v>
      </c>
      <c r="D1060" t="s">
        <v>15</v>
      </c>
      <c r="E1060" t="s">
        <v>19</v>
      </c>
      <c r="F1060" t="s">
        <v>29</v>
      </c>
      <c r="G1060">
        <v>10</v>
      </c>
    </row>
    <row r="1061" spans="1:7" x14ac:dyDescent="0.3">
      <c r="A1061">
        <v>1060</v>
      </c>
      <c r="B1061">
        <v>713</v>
      </c>
      <c r="C1061" s="1">
        <v>45717</v>
      </c>
      <c r="D1061" t="s">
        <v>20</v>
      </c>
      <c r="E1061" t="s">
        <v>16</v>
      </c>
      <c r="F1061" t="s">
        <v>25</v>
      </c>
      <c r="G1061">
        <v>143</v>
      </c>
    </row>
    <row r="1062" spans="1:7" x14ac:dyDescent="0.3">
      <c r="A1062">
        <v>1061</v>
      </c>
      <c r="B1062">
        <v>713</v>
      </c>
      <c r="C1062" s="1">
        <v>45717</v>
      </c>
      <c r="D1062" t="s">
        <v>20</v>
      </c>
      <c r="E1062" t="s">
        <v>16</v>
      </c>
      <c r="F1062" t="s">
        <v>25</v>
      </c>
      <c r="G1062">
        <v>39</v>
      </c>
    </row>
    <row r="1063" spans="1:7" x14ac:dyDescent="0.3">
      <c r="A1063">
        <v>1062</v>
      </c>
      <c r="B1063">
        <v>714</v>
      </c>
      <c r="C1063" s="1">
        <v>45717</v>
      </c>
      <c r="D1063" t="s">
        <v>20</v>
      </c>
      <c r="E1063" t="s">
        <v>17</v>
      </c>
      <c r="F1063" t="s">
        <v>27</v>
      </c>
      <c r="G1063">
        <v>5</v>
      </c>
    </row>
    <row r="1064" spans="1:7" x14ac:dyDescent="0.3">
      <c r="A1064">
        <v>1063</v>
      </c>
      <c r="B1064">
        <v>714</v>
      </c>
      <c r="C1064" s="1">
        <v>45717</v>
      </c>
      <c r="D1064" t="s">
        <v>20</v>
      </c>
      <c r="E1064" t="s">
        <v>17</v>
      </c>
      <c r="F1064" t="s">
        <v>25</v>
      </c>
      <c r="G1064">
        <v>26</v>
      </c>
    </row>
    <row r="1065" spans="1:7" x14ac:dyDescent="0.3">
      <c r="A1065">
        <v>1064</v>
      </c>
      <c r="B1065">
        <v>715</v>
      </c>
      <c r="C1065" s="1">
        <v>45717</v>
      </c>
      <c r="D1065" t="s">
        <v>20</v>
      </c>
      <c r="E1065" t="s">
        <v>18</v>
      </c>
      <c r="F1065" t="s">
        <v>25</v>
      </c>
      <c r="G1065">
        <v>152</v>
      </c>
    </row>
    <row r="1066" spans="1:7" x14ac:dyDescent="0.3">
      <c r="A1066">
        <v>1065</v>
      </c>
      <c r="B1066">
        <v>716</v>
      </c>
      <c r="C1066" s="1">
        <v>45717</v>
      </c>
      <c r="D1066" t="s">
        <v>20</v>
      </c>
      <c r="E1066" t="s">
        <v>19</v>
      </c>
      <c r="F1066" t="s">
        <v>30</v>
      </c>
      <c r="G1066">
        <v>44</v>
      </c>
    </row>
    <row r="1067" spans="1:7" x14ac:dyDescent="0.3">
      <c r="A1067">
        <v>1066</v>
      </c>
      <c r="B1067">
        <v>716</v>
      </c>
      <c r="C1067" s="1">
        <v>45717</v>
      </c>
      <c r="D1067" t="s">
        <v>20</v>
      </c>
      <c r="E1067" t="s">
        <v>19</v>
      </c>
      <c r="F1067" t="s">
        <v>25</v>
      </c>
      <c r="G1067">
        <v>7</v>
      </c>
    </row>
    <row r="1068" spans="1:7" x14ac:dyDescent="0.3">
      <c r="A1068">
        <v>1067</v>
      </c>
      <c r="B1068">
        <v>718</v>
      </c>
      <c r="C1068" s="1">
        <v>45717</v>
      </c>
      <c r="D1068" t="s">
        <v>21</v>
      </c>
      <c r="E1068" t="s">
        <v>17</v>
      </c>
      <c r="F1068" t="s">
        <v>27</v>
      </c>
      <c r="G1068">
        <v>15</v>
      </c>
    </row>
    <row r="1069" spans="1:7" x14ac:dyDescent="0.3">
      <c r="A1069">
        <v>1068</v>
      </c>
      <c r="B1069">
        <v>718</v>
      </c>
      <c r="C1069" s="1">
        <v>45717</v>
      </c>
      <c r="D1069" t="s">
        <v>21</v>
      </c>
      <c r="E1069" t="s">
        <v>17</v>
      </c>
      <c r="F1069" t="s">
        <v>27</v>
      </c>
      <c r="G1069">
        <v>5</v>
      </c>
    </row>
    <row r="1070" spans="1:7" x14ac:dyDescent="0.3">
      <c r="A1070">
        <v>1069</v>
      </c>
      <c r="B1070">
        <v>718</v>
      </c>
      <c r="C1070" s="1">
        <v>45717</v>
      </c>
      <c r="D1070" t="s">
        <v>21</v>
      </c>
      <c r="E1070" t="s">
        <v>17</v>
      </c>
      <c r="F1070" t="s">
        <v>28</v>
      </c>
      <c r="G1070">
        <v>115</v>
      </c>
    </row>
    <row r="1071" spans="1:7" x14ac:dyDescent="0.3">
      <c r="A1071">
        <v>1070</v>
      </c>
      <c r="B1071">
        <v>719</v>
      </c>
      <c r="C1071" s="1">
        <v>45717</v>
      </c>
      <c r="D1071" t="s">
        <v>21</v>
      </c>
      <c r="E1071" t="s">
        <v>18</v>
      </c>
      <c r="F1071" t="s">
        <v>26</v>
      </c>
      <c r="G1071">
        <v>21</v>
      </c>
    </row>
    <row r="1072" spans="1:7" x14ac:dyDescent="0.3">
      <c r="A1072">
        <v>1071</v>
      </c>
      <c r="B1072">
        <v>720</v>
      </c>
      <c r="C1072" s="1">
        <v>45717</v>
      </c>
      <c r="D1072" t="s">
        <v>21</v>
      </c>
      <c r="E1072" t="s">
        <v>19</v>
      </c>
      <c r="F1072" t="s">
        <v>27</v>
      </c>
      <c r="G1072">
        <v>8</v>
      </c>
    </row>
    <row r="1073" spans="1:7" x14ac:dyDescent="0.3">
      <c r="A1073">
        <v>1072</v>
      </c>
      <c r="B1073">
        <v>720</v>
      </c>
      <c r="C1073" s="1">
        <v>45717</v>
      </c>
      <c r="D1073" t="s">
        <v>21</v>
      </c>
      <c r="E1073" t="s">
        <v>19</v>
      </c>
      <c r="F1073" t="s">
        <v>27</v>
      </c>
      <c r="G1073">
        <v>30</v>
      </c>
    </row>
    <row r="1074" spans="1:7" x14ac:dyDescent="0.3">
      <c r="A1074">
        <v>1073</v>
      </c>
      <c r="B1074">
        <v>721</v>
      </c>
      <c r="C1074" s="1">
        <v>45718</v>
      </c>
      <c r="D1074" t="s">
        <v>15</v>
      </c>
      <c r="E1074" t="s">
        <v>16</v>
      </c>
      <c r="F1074" t="s">
        <v>30</v>
      </c>
      <c r="G1074">
        <v>5</v>
      </c>
    </row>
    <row r="1075" spans="1:7" x14ac:dyDescent="0.3">
      <c r="A1075">
        <v>1074</v>
      </c>
      <c r="B1075">
        <v>722</v>
      </c>
      <c r="C1075" s="1">
        <v>45718</v>
      </c>
      <c r="D1075" t="s">
        <v>15</v>
      </c>
      <c r="E1075" t="s">
        <v>17</v>
      </c>
      <c r="F1075" t="s">
        <v>26</v>
      </c>
      <c r="G1075">
        <v>21</v>
      </c>
    </row>
    <row r="1076" spans="1:7" x14ac:dyDescent="0.3">
      <c r="A1076">
        <v>1075</v>
      </c>
      <c r="B1076">
        <v>723</v>
      </c>
      <c r="C1076" s="1">
        <v>45718</v>
      </c>
      <c r="D1076" t="s">
        <v>15</v>
      </c>
      <c r="E1076" t="s">
        <v>18</v>
      </c>
      <c r="F1076" t="s">
        <v>27</v>
      </c>
      <c r="G1076">
        <v>40</v>
      </c>
    </row>
    <row r="1077" spans="1:7" x14ac:dyDescent="0.3">
      <c r="A1077">
        <v>1076</v>
      </c>
      <c r="B1077">
        <v>723</v>
      </c>
      <c r="C1077" s="1">
        <v>45718</v>
      </c>
      <c r="D1077" t="s">
        <v>15</v>
      </c>
      <c r="E1077" t="s">
        <v>18</v>
      </c>
      <c r="F1077" t="s">
        <v>27</v>
      </c>
      <c r="G1077">
        <v>25</v>
      </c>
    </row>
    <row r="1078" spans="1:7" x14ac:dyDescent="0.3">
      <c r="A1078">
        <v>1077</v>
      </c>
      <c r="B1078">
        <v>724</v>
      </c>
      <c r="C1078" s="1">
        <v>45718</v>
      </c>
      <c r="D1078" t="s">
        <v>15</v>
      </c>
      <c r="E1078" t="s">
        <v>19</v>
      </c>
      <c r="F1078" t="s">
        <v>29</v>
      </c>
      <c r="G1078">
        <v>6</v>
      </c>
    </row>
    <row r="1079" spans="1:7" x14ac:dyDescent="0.3">
      <c r="A1079">
        <v>1078</v>
      </c>
      <c r="B1079">
        <v>725</v>
      </c>
      <c r="C1079" s="1">
        <v>45718</v>
      </c>
      <c r="D1079" t="s">
        <v>20</v>
      </c>
      <c r="E1079" t="s">
        <v>16</v>
      </c>
      <c r="F1079" t="s">
        <v>29</v>
      </c>
      <c r="G1079">
        <v>84</v>
      </c>
    </row>
    <row r="1080" spans="1:7" x14ac:dyDescent="0.3">
      <c r="A1080">
        <v>1079</v>
      </c>
      <c r="B1080">
        <v>726</v>
      </c>
      <c r="C1080" s="1">
        <v>45718</v>
      </c>
      <c r="D1080" t="s">
        <v>20</v>
      </c>
      <c r="E1080" t="s">
        <v>17</v>
      </c>
      <c r="F1080" t="s">
        <v>26</v>
      </c>
      <c r="G1080">
        <v>5</v>
      </c>
    </row>
    <row r="1081" spans="1:7" x14ac:dyDescent="0.3">
      <c r="A1081">
        <v>1080</v>
      </c>
      <c r="B1081">
        <v>726</v>
      </c>
      <c r="C1081" s="1">
        <v>45718</v>
      </c>
      <c r="D1081" t="s">
        <v>20</v>
      </c>
      <c r="E1081" t="s">
        <v>17</v>
      </c>
      <c r="F1081" t="s">
        <v>25</v>
      </c>
      <c r="G1081">
        <v>21</v>
      </c>
    </row>
    <row r="1082" spans="1:7" x14ac:dyDescent="0.3">
      <c r="A1082">
        <v>1081</v>
      </c>
      <c r="B1082">
        <v>727</v>
      </c>
      <c r="C1082" s="1">
        <v>45718</v>
      </c>
      <c r="D1082" t="s">
        <v>20</v>
      </c>
      <c r="E1082" t="s">
        <v>18</v>
      </c>
      <c r="F1082" t="s">
        <v>25</v>
      </c>
      <c r="G1082">
        <v>16</v>
      </c>
    </row>
    <row r="1083" spans="1:7" x14ac:dyDescent="0.3">
      <c r="A1083">
        <v>1082</v>
      </c>
      <c r="B1083">
        <v>728</v>
      </c>
      <c r="C1083" s="1">
        <v>45718</v>
      </c>
      <c r="D1083" t="s">
        <v>20</v>
      </c>
      <c r="E1083" t="s">
        <v>19</v>
      </c>
      <c r="F1083" t="s">
        <v>26</v>
      </c>
      <c r="G1083">
        <v>37</v>
      </c>
    </row>
    <row r="1084" spans="1:7" x14ac:dyDescent="0.3">
      <c r="A1084">
        <v>1083</v>
      </c>
      <c r="B1084">
        <v>728</v>
      </c>
      <c r="C1084" s="1">
        <v>45718</v>
      </c>
      <c r="D1084" t="s">
        <v>20</v>
      </c>
      <c r="E1084" t="s">
        <v>19</v>
      </c>
      <c r="F1084" t="s">
        <v>26</v>
      </c>
      <c r="G1084">
        <v>5</v>
      </c>
    </row>
    <row r="1085" spans="1:7" x14ac:dyDescent="0.3">
      <c r="A1085">
        <v>1084</v>
      </c>
      <c r="B1085">
        <v>728</v>
      </c>
      <c r="C1085" s="1">
        <v>45718</v>
      </c>
      <c r="D1085" t="s">
        <v>20</v>
      </c>
      <c r="E1085" t="s">
        <v>19</v>
      </c>
      <c r="F1085" t="s">
        <v>26</v>
      </c>
      <c r="G1085">
        <v>5</v>
      </c>
    </row>
    <row r="1086" spans="1:7" x14ac:dyDescent="0.3">
      <c r="A1086">
        <v>1085</v>
      </c>
      <c r="B1086">
        <v>730</v>
      </c>
      <c r="C1086" s="1">
        <v>45718</v>
      </c>
      <c r="D1086" t="s">
        <v>21</v>
      </c>
      <c r="E1086" t="s">
        <v>17</v>
      </c>
      <c r="F1086" t="s">
        <v>25</v>
      </c>
      <c r="G1086">
        <v>137</v>
      </c>
    </row>
    <row r="1087" spans="1:7" x14ac:dyDescent="0.3">
      <c r="A1087">
        <v>1086</v>
      </c>
      <c r="B1087">
        <v>730</v>
      </c>
      <c r="C1087" s="1">
        <v>45718</v>
      </c>
      <c r="D1087" t="s">
        <v>21</v>
      </c>
      <c r="E1087" t="s">
        <v>17</v>
      </c>
      <c r="F1087" t="s">
        <v>25</v>
      </c>
      <c r="G1087">
        <v>9</v>
      </c>
    </row>
    <row r="1088" spans="1:7" x14ac:dyDescent="0.3">
      <c r="A1088">
        <v>1087</v>
      </c>
      <c r="B1088">
        <v>731</v>
      </c>
      <c r="C1088" s="1">
        <v>45718</v>
      </c>
      <c r="D1088" t="s">
        <v>21</v>
      </c>
      <c r="E1088" t="s">
        <v>18</v>
      </c>
      <c r="F1088" t="s">
        <v>25</v>
      </c>
      <c r="G1088">
        <v>12</v>
      </c>
    </row>
    <row r="1089" spans="1:7" x14ac:dyDescent="0.3">
      <c r="A1089">
        <v>1088</v>
      </c>
      <c r="B1089">
        <v>732</v>
      </c>
      <c r="C1089" s="1">
        <v>45718</v>
      </c>
      <c r="D1089" t="s">
        <v>21</v>
      </c>
      <c r="E1089" t="s">
        <v>19</v>
      </c>
      <c r="F1089" t="s">
        <v>27</v>
      </c>
      <c r="G1089">
        <v>9</v>
      </c>
    </row>
    <row r="1090" spans="1:7" x14ac:dyDescent="0.3">
      <c r="A1090">
        <v>1089</v>
      </c>
      <c r="B1090">
        <v>733</v>
      </c>
      <c r="C1090" s="1">
        <v>45719</v>
      </c>
      <c r="D1090" t="s">
        <v>15</v>
      </c>
      <c r="E1090" t="s">
        <v>16</v>
      </c>
      <c r="F1090" t="s">
        <v>25</v>
      </c>
      <c r="G1090">
        <v>17</v>
      </c>
    </row>
    <row r="1091" spans="1:7" x14ac:dyDescent="0.3">
      <c r="A1091">
        <v>1090</v>
      </c>
      <c r="B1091">
        <v>734</v>
      </c>
      <c r="C1091" s="1">
        <v>45719</v>
      </c>
      <c r="D1091" t="s">
        <v>15</v>
      </c>
      <c r="E1091" t="s">
        <v>17</v>
      </c>
      <c r="F1091" t="s">
        <v>26</v>
      </c>
      <c r="G1091">
        <v>11</v>
      </c>
    </row>
    <row r="1092" spans="1:7" x14ac:dyDescent="0.3">
      <c r="A1092">
        <v>1091</v>
      </c>
      <c r="B1092">
        <v>734</v>
      </c>
      <c r="C1092" s="1">
        <v>45719</v>
      </c>
      <c r="D1092" t="s">
        <v>15</v>
      </c>
      <c r="E1092" t="s">
        <v>17</v>
      </c>
      <c r="F1092" t="s">
        <v>25</v>
      </c>
      <c r="G1092">
        <v>54</v>
      </c>
    </row>
    <row r="1093" spans="1:7" x14ac:dyDescent="0.3">
      <c r="A1093">
        <v>1092</v>
      </c>
      <c r="B1093">
        <v>734</v>
      </c>
      <c r="C1093" s="1">
        <v>45719</v>
      </c>
      <c r="D1093" t="s">
        <v>15</v>
      </c>
      <c r="E1093" t="s">
        <v>17</v>
      </c>
      <c r="F1093" t="s">
        <v>25</v>
      </c>
      <c r="G1093">
        <v>23</v>
      </c>
    </row>
    <row r="1094" spans="1:7" x14ac:dyDescent="0.3">
      <c r="A1094">
        <v>1093</v>
      </c>
      <c r="B1094">
        <v>735</v>
      </c>
      <c r="C1094" s="1">
        <v>45719</v>
      </c>
      <c r="D1094" t="s">
        <v>15</v>
      </c>
      <c r="E1094" t="s">
        <v>18</v>
      </c>
      <c r="F1094" t="s">
        <v>25</v>
      </c>
      <c r="G1094">
        <v>26</v>
      </c>
    </row>
    <row r="1095" spans="1:7" x14ac:dyDescent="0.3">
      <c r="A1095">
        <v>1094</v>
      </c>
      <c r="B1095">
        <v>735</v>
      </c>
      <c r="C1095" s="1">
        <v>45719</v>
      </c>
      <c r="D1095" t="s">
        <v>15</v>
      </c>
      <c r="E1095" t="s">
        <v>18</v>
      </c>
      <c r="F1095" t="s">
        <v>26</v>
      </c>
      <c r="G1095">
        <v>35</v>
      </c>
    </row>
    <row r="1096" spans="1:7" x14ac:dyDescent="0.3">
      <c r="A1096">
        <v>1095</v>
      </c>
      <c r="B1096">
        <v>736</v>
      </c>
      <c r="C1096" s="1">
        <v>45719</v>
      </c>
      <c r="D1096" t="s">
        <v>15</v>
      </c>
      <c r="E1096" t="s">
        <v>19</v>
      </c>
      <c r="F1096" t="s">
        <v>30</v>
      </c>
      <c r="G1096">
        <v>12</v>
      </c>
    </row>
    <row r="1097" spans="1:7" x14ac:dyDescent="0.3">
      <c r="A1097">
        <v>1096</v>
      </c>
      <c r="B1097">
        <v>736</v>
      </c>
      <c r="C1097" s="1">
        <v>45719</v>
      </c>
      <c r="D1097" t="s">
        <v>15</v>
      </c>
      <c r="E1097" t="s">
        <v>19</v>
      </c>
      <c r="F1097" t="s">
        <v>25</v>
      </c>
      <c r="G1097">
        <v>28</v>
      </c>
    </row>
    <row r="1098" spans="1:7" x14ac:dyDescent="0.3">
      <c r="A1098">
        <v>1097</v>
      </c>
      <c r="B1098">
        <v>736</v>
      </c>
      <c r="C1098" s="1">
        <v>45719</v>
      </c>
      <c r="D1098" t="s">
        <v>15</v>
      </c>
      <c r="E1098" t="s">
        <v>19</v>
      </c>
      <c r="F1098" t="s">
        <v>25</v>
      </c>
      <c r="G1098">
        <v>38</v>
      </c>
    </row>
    <row r="1099" spans="1:7" x14ac:dyDescent="0.3">
      <c r="A1099">
        <v>1098</v>
      </c>
      <c r="B1099">
        <v>737</v>
      </c>
      <c r="C1099" s="1">
        <v>45719</v>
      </c>
      <c r="D1099" t="s">
        <v>20</v>
      </c>
      <c r="E1099" t="s">
        <v>16</v>
      </c>
      <c r="F1099" t="s">
        <v>25</v>
      </c>
      <c r="G1099">
        <v>30</v>
      </c>
    </row>
    <row r="1100" spans="1:7" x14ac:dyDescent="0.3">
      <c r="A1100">
        <v>1099</v>
      </c>
      <c r="B1100">
        <v>737</v>
      </c>
      <c r="C1100" s="1">
        <v>45719</v>
      </c>
      <c r="D1100" t="s">
        <v>20</v>
      </c>
      <c r="E1100" t="s">
        <v>16</v>
      </c>
      <c r="F1100" t="s">
        <v>25</v>
      </c>
      <c r="G1100">
        <v>9</v>
      </c>
    </row>
    <row r="1101" spans="1:7" x14ac:dyDescent="0.3">
      <c r="A1101">
        <v>1100</v>
      </c>
      <c r="B1101">
        <v>738</v>
      </c>
      <c r="C1101" s="1">
        <v>45719</v>
      </c>
      <c r="D1101" t="s">
        <v>20</v>
      </c>
      <c r="E1101" t="s">
        <v>17</v>
      </c>
      <c r="F1101" t="s">
        <v>25</v>
      </c>
      <c r="G1101">
        <v>118</v>
      </c>
    </row>
    <row r="1102" spans="1:7" x14ac:dyDescent="0.3">
      <c r="A1102">
        <v>1101</v>
      </c>
      <c r="B1102">
        <v>740</v>
      </c>
      <c r="C1102" s="1">
        <v>45719</v>
      </c>
      <c r="D1102" t="s">
        <v>20</v>
      </c>
      <c r="E1102" t="s">
        <v>19</v>
      </c>
      <c r="F1102" t="s">
        <v>26</v>
      </c>
      <c r="G1102">
        <v>53</v>
      </c>
    </row>
    <row r="1103" spans="1:7" x14ac:dyDescent="0.3">
      <c r="A1103">
        <v>1102</v>
      </c>
      <c r="B1103">
        <v>741</v>
      </c>
      <c r="C1103" s="1">
        <v>45719</v>
      </c>
      <c r="D1103" t="s">
        <v>21</v>
      </c>
      <c r="E1103" t="s">
        <v>16</v>
      </c>
      <c r="F1103" t="s">
        <v>26</v>
      </c>
      <c r="G1103">
        <v>5</v>
      </c>
    </row>
    <row r="1104" spans="1:7" x14ac:dyDescent="0.3">
      <c r="A1104">
        <v>1103</v>
      </c>
      <c r="B1104">
        <v>741</v>
      </c>
      <c r="C1104" s="1">
        <v>45719</v>
      </c>
      <c r="D1104" t="s">
        <v>21</v>
      </c>
      <c r="E1104" t="s">
        <v>16</v>
      </c>
      <c r="F1104" t="s">
        <v>27</v>
      </c>
      <c r="G1104">
        <v>6</v>
      </c>
    </row>
    <row r="1105" spans="1:7" x14ac:dyDescent="0.3">
      <c r="A1105">
        <v>1104</v>
      </c>
      <c r="B1105">
        <v>742</v>
      </c>
      <c r="C1105" s="1">
        <v>45719</v>
      </c>
      <c r="D1105" t="s">
        <v>21</v>
      </c>
      <c r="E1105" t="s">
        <v>17</v>
      </c>
      <c r="F1105" t="s">
        <v>25</v>
      </c>
      <c r="G1105">
        <v>7</v>
      </c>
    </row>
    <row r="1106" spans="1:7" x14ac:dyDescent="0.3">
      <c r="A1106">
        <v>1105</v>
      </c>
      <c r="B1106">
        <v>742</v>
      </c>
      <c r="C1106" s="1">
        <v>45719</v>
      </c>
      <c r="D1106" t="s">
        <v>21</v>
      </c>
      <c r="E1106" t="s">
        <v>17</v>
      </c>
      <c r="F1106" t="s">
        <v>29</v>
      </c>
      <c r="G1106">
        <v>18</v>
      </c>
    </row>
    <row r="1107" spans="1:7" x14ac:dyDescent="0.3">
      <c r="A1107">
        <v>1106</v>
      </c>
      <c r="B1107">
        <v>743</v>
      </c>
      <c r="C1107" s="1">
        <v>45719</v>
      </c>
      <c r="D1107" t="s">
        <v>21</v>
      </c>
      <c r="E1107" t="s">
        <v>18</v>
      </c>
      <c r="F1107" t="s">
        <v>25</v>
      </c>
      <c r="G1107">
        <v>5</v>
      </c>
    </row>
    <row r="1108" spans="1:7" x14ac:dyDescent="0.3">
      <c r="A1108">
        <v>1107</v>
      </c>
      <c r="B1108">
        <v>743</v>
      </c>
      <c r="C1108" s="1">
        <v>45719</v>
      </c>
      <c r="D1108" t="s">
        <v>21</v>
      </c>
      <c r="E1108" t="s">
        <v>18</v>
      </c>
      <c r="F1108" t="s">
        <v>25</v>
      </c>
      <c r="G1108">
        <v>6</v>
      </c>
    </row>
    <row r="1109" spans="1:7" x14ac:dyDescent="0.3">
      <c r="A1109">
        <v>1108</v>
      </c>
      <c r="B1109">
        <v>743</v>
      </c>
      <c r="C1109" s="1">
        <v>45719</v>
      </c>
      <c r="D1109" t="s">
        <v>21</v>
      </c>
      <c r="E1109" t="s">
        <v>18</v>
      </c>
      <c r="F1109" t="s">
        <v>25</v>
      </c>
      <c r="G1109">
        <v>21</v>
      </c>
    </row>
    <row r="1110" spans="1:7" x14ac:dyDescent="0.3">
      <c r="A1110">
        <v>1109</v>
      </c>
      <c r="B1110">
        <v>743</v>
      </c>
      <c r="C1110" s="1">
        <v>45719</v>
      </c>
      <c r="D1110" t="s">
        <v>21</v>
      </c>
      <c r="E1110" t="s">
        <v>18</v>
      </c>
      <c r="F1110" t="s">
        <v>28</v>
      </c>
      <c r="G1110">
        <v>56</v>
      </c>
    </row>
    <row r="1111" spans="1:7" x14ac:dyDescent="0.3">
      <c r="A1111">
        <v>1110</v>
      </c>
      <c r="B1111">
        <v>745</v>
      </c>
      <c r="C1111" s="1">
        <v>45720</v>
      </c>
      <c r="D1111" t="s">
        <v>15</v>
      </c>
      <c r="E1111" t="s">
        <v>16</v>
      </c>
      <c r="F1111" t="s">
        <v>28</v>
      </c>
      <c r="G1111">
        <v>18</v>
      </c>
    </row>
    <row r="1112" spans="1:7" x14ac:dyDescent="0.3">
      <c r="A1112">
        <v>1111</v>
      </c>
      <c r="B1112">
        <v>747</v>
      </c>
      <c r="C1112" s="1">
        <v>45720</v>
      </c>
      <c r="D1112" t="s">
        <v>15</v>
      </c>
      <c r="E1112" t="s">
        <v>18</v>
      </c>
      <c r="F1112" t="s">
        <v>30</v>
      </c>
      <c r="G1112">
        <v>15</v>
      </c>
    </row>
    <row r="1113" spans="1:7" x14ac:dyDescent="0.3">
      <c r="A1113">
        <v>1112</v>
      </c>
      <c r="B1113">
        <v>747</v>
      </c>
      <c r="C1113" s="1">
        <v>45720</v>
      </c>
      <c r="D1113" t="s">
        <v>15</v>
      </c>
      <c r="E1113" t="s">
        <v>18</v>
      </c>
      <c r="F1113" t="s">
        <v>26</v>
      </c>
      <c r="G1113">
        <v>5</v>
      </c>
    </row>
    <row r="1114" spans="1:7" x14ac:dyDescent="0.3">
      <c r="A1114">
        <v>1113</v>
      </c>
      <c r="B1114">
        <v>747</v>
      </c>
      <c r="C1114" s="1">
        <v>45720</v>
      </c>
      <c r="D1114" t="s">
        <v>15</v>
      </c>
      <c r="E1114" t="s">
        <v>18</v>
      </c>
      <c r="F1114" t="s">
        <v>26</v>
      </c>
      <c r="G1114">
        <v>121</v>
      </c>
    </row>
    <row r="1115" spans="1:7" x14ac:dyDescent="0.3">
      <c r="A1115">
        <v>1114</v>
      </c>
      <c r="B1115">
        <v>749</v>
      </c>
      <c r="C1115" s="1">
        <v>45720</v>
      </c>
      <c r="D1115" t="s">
        <v>20</v>
      </c>
      <c r="E1115" t="s">
        <v>16</v>
      </c>
      <c r="F1115" t="s">
        <v>27</v>
      </c>
      <c r="G1115">
        <v>12</v>
      </c>
    </row>
    <row r="1116" spans="1:7" x14ac:dyDescent="0.3">
      <c r="A1116">
        <v>1115</v>
      </c>
      <c r="B1116">
        <v>749</v>
      </c>
      <c r="C1116" s="1">
        <v>45720</v>
      </c>
      <c r="D1116" t="s">
        <v>20</v>
      </c>
      <c r="E1116" t="s">
        <v>16</v>
      </c>
      <c r="F1116" t="s">
        <v>29</v>
      </c>
      <c r="G1116">
        <v>25</v>
      </c>
    </row>
    <row r="1117" spans="1:7" x14ac:dyDescent="0.3">
      <c r="A1117">
        <v>1116</v>
      </c>
      <c r="B1117">
        <v>751</v>
      </c>
      <c r="C1117" s="1">
        <v>45720</v>
      </c>
      <c r="D1117" t="s">
        <v>20</v>
      </c>
      <c r="E1117" t="s">
        <v>18</v>
      </c>
      <c r="F1117" t="s">
        <v>26</v>
      </c>
      <c r="G1117">
        <v>32</v>
      </c>
    </row>
    <row r="1118" spans="1:7" x14ac:dyDescent="0.3">
      <c r="A1118">
        <v>1117</v>
      </c>
      <c r="B1118">
        <v>752</v>
      </c>
      <c r="C1118" s="1">
        <v>45720</v>
      </c>
      <c r="D1118" t="s">
        <v>20</v>
      </c>
      <c r="E1118" t="s">
        <v>19</v>
      </c>
      <c r="F1118" t="s">
        <v>26</v>
      </c>
      <c r="G1118">
        <v>5</v>
      </c>
    </row>
    <row r="1119" spans="1:7" x14ac:dyDescent="0.3">
      <c r="A1119">
        <v>1118</v>
      </c>
      <c r="B1119">
        <v>753</v>
      </c>
      <c r="C1119" s="1">
        <v>45720</v>
      </c>
      <c r="D1119" t="s">
        <v>21</v>
      </c>
      <c r="E1119" t="s">
        <v>16</v>
      </c>
      <c r="F1119" t="s">
        <v>25</v>
      </c>
      <c r="G1119">
        <v>49</v>
      </c>
    </row>
    <row r="1120" spans="1:7" x14ac:dyDescent="0.3">
      <c r="A1120">
        <v>1119</v>
      </c>
      <c r="B1120">
        <v>753</v>
      </c>
      <c r="C1120" s="1">
        <v>45720</v>
      </c>
      <c r="D1120" t="s">
        <v>21</v>
      </c>
      <c r="E1120" t="s">
        <v>16</v>
      </c>
      <c r="F1120" t="s">
        <v>30</v>
      </c>
      <c r="G1120">
        <v>5</v>
      </c>
    </row>
    <row r="1121" spans="1:7" x14ac:dyDescent="0.3">
      <c r="A1121">
        <v>1120</v>
      </c>
      <c r="B1121">
        <v>754</v>
      </c>
      <c r="C1121" s="1">
        <v>45720</v>
      </c>
      <c r="D1121" t="s">
        <v>21</v>
      </c>
      <c r="E1121" t="s">
        <v>17</v>
      </c>
      <c r="F1121" t="s">
        <v>27</v>
      </c>
      <c r="G1121">
        <v>5</v>
      </c>
    </row>
    <row r="1122" spans="1:7" x14ac:dyDescent="0.3">
      <c r="A1122">
        <v>1121</v>
      </c>
      <c r="B1122">
        <v>755</v>
      </c>
      <c r="C1122" s="1">
        <v>45720</v>
      </c>
      <c r="D1122" t="s">
        <v>21</v>
      </c>
      <c r="E1122" t="s">
        <v>18</v>
      </c>
      <c r="F1122" t="s">
        <v>30</v>
      </c>
      <c r="G1122">
        <v>8</v>
      </c>
    </row>
    <row r="1123" spans="1:7" x14ac:dyDescent="0.3">
      <c r="A1123">
        <v>1122</v>
      </c>
      <c r="B1123">
        <v>755</v>
      </c>
      <c r="C1123" s="1">
        <v>45720</v>
      </c>
      <c r="D1123" t="s">
        <v>21</v>
      </c>
      <c r="E1123" t="s">
        <v>18</v>
      </c>
      <c r="F1123" t="s">
        <v>25</v>
      </c>
      <c r="G1123">
        <v>35</v>
      </c>
    </row>
    <row r="1124" spans="1:7" x14ac:dyDescent="0.3">
      <c r="A1124">
        <v>1123</v>
      </c>
      <c r="B1124">
        <v>756</v>
      </c>
      <c r="C1124" s="1">
        <v>45720</v>
      </c>
      <c r="D1124" t="s">
        <v>21</v>
      </c>
      <c r="E1124" t="s">
        <v>19</v>
      </c>
      <c r="F1124" t="s">
        <v>25</v>
      </c>
      <c r="G1124">
        <v>9</v>
      </c>
    </row>
    <row r="1125" spans="1:7" x14ac:dyDescent="0.3">
      <c r="A1125">
        <v>1124</v>
      </c>
      <c r="B1125">
        <v>757</v>
      </c>
      <c r="C1125" s="1">
        <v>45721</v>
      </c>
      <c r="D1125" t="s">
        <v>15</v>
      </c>
      <c r="E1125" t="s">
        <v>16</v>
      </c>
      <c r="F1125" t="s">
        <v>25</v>
      </c>
      <c r="G1125">
        <v>38</v>
      </c>
    </row>
    <row r="1126" spans="1:7" x14ac:dyDescent="0.3">
      <c r="A1126">
        <v>1125</v>
      </c>
      <c r="B1126">
        <v>758</v>
      </c>
      <c r="C1126" s="1">
        <v>45721</v>
      </c>
      <c r="D1126" t="s">
        <v>15</v>
      </c>
      <c r="E1126" t="s">
        <v>17</v>
      </c>
      <c r="F1126" t="s">
        <v>25</v>
      </c>
      <c r="G1126">
        <v>5</v>
      </c>
    </row>
    <row r="1127" spans="1:7" x14ac:dyDescent="0.3">
      <c r="A1127">
        <v>1126</v>
      </c>
      <c r="B1127">
        <v>759</v>
      </c>
      <c r="C1127" s="1">
        <v>45721</v>
      </c>
      <c r="D1127" t="s">
        <v>15</v>
      </c>
      <c r="E1127" t="s">
        <v>18</v>
      </c>
      <c r="F1127" t="s">
        <v>27</v>
      </c>
      <c r="G1127">
        <v>5</v>
      </c>
    </row>
    <row r="1128" spans="1:7" x14ac:dyDescent="0.3">
      <c r="A1128">
        <v>1127</v>
      </c>
      <c r="B1128">
        <v>759</v>
      </c>
      <c r="C1128" s="1">
        <v>45721</v>
      </c>
      <c r="D1128" t="s">
        <v>15</v>
      </c>
      <c r="E1128" t="s">
        <v>18</v>
      </c>
      <c r="F1128" t="s">
        <v>25</v>
      </c>
      <c r="G1128">
        <v>50</v>
      </c>
    </row>
    <row r="1129" spans="1:7" x14ac:dyDescent="0.3">
      <c r="A1129">
        <v>1128</v>
      </c>
      <c r="B1129">
        <v>759</v>
      </c>
      <c r="C1129" s="1">
        <v>45721</v>
      </c>
      <c r="D1129" t="s">
        <v>15</v>
      </c>
      <c r="E1129" t="s">
        <v>18</v>
      </c>
      <c r="F1129" t="s">
        <v>29</v>
      </c>
      <c r="G1129">
        <v>82</v>
      </c>
    </row>
    <row r="1130" spans="1:7" x14ac:dyDescent="0.3">
      <c r="A1130">
        <v>1129</v>
      </c>
      <c r="B1130">
        <v>761</v>
      </c>
      <c r="C1130" s="1">
        <v>45721</v>
      </c>
      <c r="D1130" t="s">
        <v>20</v>
      </c>
      <c r="E1130" t="s">
        <v>16</v>
      </c>
      <c r="F1130" t="s">
        <v>26</v>
      </c>
      <c r="G1130">
        <v>57</v>
      </c>
    </row>
    <row r="1131" spans="1:7" x14ac:dyDescent="0.3">
      <c r="A1131">
        <v>1130</v>
      </c>
      <c r="B1131">
        <v>761</v>
      </c>
      <c r="C1131" s="1">
        <v>45721</v>
      </c>
      <c r="D1131" t="s">
        <v>20</v>
      </c>
      <c r="E1131" t="s">
        <v>16</v>
      </c>
      <c r="F1131" t="s">
        <v>25</v>
      </c>
      <c r="G1131">
        <v>46</v>
      </c>
    </row>
    <row r="1132" spans="1:7" x14ac:dyDescent="0.3">
      <c r="A1132">
        <v>1131</v>
      </c>
      <c r="B1132">
        <v>761</v>
      </c>
      <c r="C1132" s="1">
        <v>45721</v>
      </c>
      <c r="D1132" t="s">
        <v>20</v>
      </c>
      <c r="E1132" t="s">
        <v>16</v>
      </c>
      <c r="F1132" t="s">
        <v>25</v>
      </c>
      <c r="G1132">
        <v>142</v>
      </c>
    </row>
    <row r="1133" spans="1:7" x14ac:dyDescent="0.3">
      <c r="A1133">
        <v>1132</v>
      </c>
      <c r="B1133">
        <v>761</v>
      </c>
      <c r="C1133" s="1">
        <v>45721</v>
      </c>
      <c r="D1133" t="s">
        <v>20</v>
      </c>
      <c r="E1133" t="s">
        <v>16</v>
      </c>
      <c r="F1133" t="s">
        <v>25</v>
      </c>
      <c r="G1133">
        <v>39</v>
      </c>
    </row>
    <row r="1134" spans="1:7" x14ac:dyDescent="0.3">
      <c r="A1134">
        <v>1133</v>
      </c>
      <c r="B1134">
        <v>763</v>
      </c>
      <c r="C1134" s="1">
        <v>45721</v>
      </c>
      <c r="D1134" t="s">
        <v>20</v>
      </c>
      <c r="E1134" t="s">
        <v>18</v>
      </c>
      <c r="F1134" t="s">
        <v>25</v>
      </c>
      <c r="G1134">
        <v>64</v>
      </c>
    </row>
    <row r="1135" spans="1:7" x14ac:dyDescent="0.3">
      <c r="A1135">
        <v>1134</v>
      </c>
      <c r="B1135">
        <v>766</v>
      </c>
      <c r="C1135" s="1">
        <v>45721</v>
      </c>
      <c r="D1135" t="s">
        <v>21</v>
      </c>
      <c r="E1135" t="s">
        <v>17</v>
      </c>
      <c r="F1135" t="s">
        <v>27</v>
      </c>
      <c r="G1135">
        <v>82</v>
      </c>
    </row>
    <row r="1136" spans="1:7" x14ac:dyDescent="0.3">
      <c r="A1136">
        <v>1135</v>
      </c>
      <c r="B1136">
        <v>766</v>
      </c>
      <c r="C1136" s="1">
        <v>45721</v>
      </c>
      <c r="D1136" t="s">
        <v>21</v>
      </c>
      <c r="E1136" t="s">
        <v>17</v>
      </c>
      <c r="F1136" t="s">
        <v>25</v>
      </c>
      <c r="G1136">
        <v>15</v>
      </c>
    </row>
    <row r="1137" spans="1:7" x14ac:dyDescent="0.3">
      <c r="A1137">
        <v>1136</v>
      </c>
      <c r="B1137">
        <v>767</v>
      </c>
      <c r="C1137" s="1">
        <v>45721</v>
      </c>
      <c r="D1137" t="s">
        <v>21</v>
      </c>
      <c r="E1137" t="s">
        <v>18</v>
      </c>
      <c r="F1137" t="s">
        <v>29</v>
      </c>
      <c r="G1137">
        <v>5</v>
      </c>
    </row>
    <row r="1138" spans="1:7" x14ac:dyDescent="0.3">
      <c r="A1138">
        <v>1137</v>
      </c>
      <c r="B1138">
        <v>767</v>
      </c>
      <c r="C1138" s="1">
        <v>45721</v>
      </c>
      <c r="D1138" t="s">
        <v>21</v>
      </c>
      <c r="E1138" t="s">
        <v>18</v>
      </c>
      <c r="F1138" t="s">
        <v>26</v>
      </c>
      <c r="G1138">
        <v>71</v>
      </c>
    </row>
    <row r="1139" spans="1:7" x14ac:dyDescent="0.3">
      <c r="A1139">
        <v>1138</v>
      </c>
      <c r="B1139">
        <v>768</v>
      </c>
      <c r="C1139" s="1">
        <v>45721</v>
      </c>
      <c r="D1139" t="s">
        <v>21</v>
      </c>
      <c r="E1139" t="s">
        <v>19</v>
      </c>
      <c r="F1139" t="s">
        <v>25</v>
      </c>
      <c r="G1139">
        <v>16</v>
      </c>
    </row>
    <row r="1140" spans="1:7" x14ac:dyDescent="0.3">
      <c r="A1140">
        <v>1139</v>
      </c>
      <c r="B1140">
        <v>768</v>
      </c>
      <c r="C1140" s="1">
        <v>45721</v>
      </c>
      <c r="D1140" t="s">
        <v>21</v>
      </c>
      <c r="E1140" t="s">
        <v>19</v>
      </c>
      <c r="F1140" t="s">
        <v>25</v>
      </c>
      <c r="G1140">
        <v>6</v>
      </c>
    </row>
    <row r="1141" spans="1:7" x14ac:dyDescent="0.3">
      <c r="A1141">
        <v>1140</v>
      </c>
      <c r="B1141">
        <v>768</v>
      </c>
      <c r="C1141" s="1">
        <v>45721</v>
      </c>
      <c r="D1141" t="s">
        <v>21</v>
      </c>
      <c r="E1141" t="s">
        <v>19</v>
      </c>
      <c r="F1141" t="s">
        <v>25</v>
      </c>
      <c r="G1141">
        <v>24</v>
      </c>
    </row>
    <row r="1142" spans="1:7" x14ac:dyDescent="0.3">
      <c r="A1142">
        <v>1141</v>
      </c>
      <c r="B1142">
        <v>771</v>
      </c>
      <c r="C1142" s="1">
        <v>45722</v>
      </c>
      <c r="D1142" t="s">
        <v>15</v>
      </c>
      <c r="E1142" t="s">
        <v>18</v>
      </c>
      <c r="F1142" t="s">
        <v>27</v>
      </c>
      <c r="G1142">
        <v>22</v>
      </c>
    </row>
    <row r="1143" spans="1:7" x14ac:dyDescent="0.3">
      <c r="A1143">
        <v>1142</v>
      </c>
      <c r="B1143">
        <v>771</v>
      </c>
      <c r="C1143" s="1">
        <v>45722</v>
      </c>
      <c r="D1143" t="s">
        <v>15</v>
      </c>
      <c r="E1143" t="s">
        <v>18</v>
      </c>
      <c r="F1143" t="s">
        <v>26</v>
      </c>
      <c r="G1143">
        <v>29</v>
      </c>
    </row>
    <row r="1144" spans="1:7" x14ac:dyDescent="0.3">
      <c r="A1144">
        <v>1143</v>
      </c>
      <c r="B1144">
        <v>772</v>
      </c>
      <c r="C1144" s="1">
        <v>45722</v>
      </c>
      <c r="D1144" t="s">
        <v>15</v>
      </c>
      <c r="E1144" t="s">
        <v>19</v>
      </c>
      <c r="F1144" t="s">
        <v>28</v>
      </c>
      <c r="G1144">
        <v>10</v>
      </c>
    </row>
    <row r="1145" spans="1:7" x14ac:dyDescent="0.3">
      <c r="A1145">
        <v>1144</v>
      </c>
      <c r="B1145">
        <v>772</v>
      </c>
      <c r="C1145" s="1">
        <v>45722</v>
      </c>
      <c r="D1145" t="s">
        <v>15</v>
      </c>
      <c r="E1145" t="s">
        <v>19</v>
      </c>
      <c r="F1145" t="s">
        <v>26</v>
      </c>
      <c r="G1145">
        <v>33</v>
      </c>
    </row>
    <row r="1146" spans="1:7" x14ac:dyDescent="0.3">
      <c r="A1146">
        <v>1145</v>
      </c>
      <c r="B1146">
        <v>772</v>
      </c>
      <c r="C1146" s="1">
        <v>45722</v>
      </c>
      <c r="D1146" t="s">
        <v>15</v>
      </c>
      <c r="E1146" t="s">
        <v>19</v>
      </c>
      <c r="F1146" t="s">
        <v>28</v>
      </c>
      <c r="G1146">
        <v>254</v>
      </c>
    </row>
    <row r="1147" spans="1:7" x14ac:dyDescent="0.3">
      <c r="A1147">
        <v>1146</v>
      </c>
      <c r="B1147">
        <v>773</v>
      </c>
      <c r="C1147" s="1">
        <v>45722</v>
      </c>
      <c r="D1147" t="s">
        <v>20</v>
      </c>
      <c r="E1147" t="s">
        <v>16</v>
      </c>
      <c r="F1147" t="s">
        <v>30</v>
      </c>
      <c r="G1147">
        <v>36</v>
      </c>
    </row>
    <row r="1148" spans="1:7" x14ac:dyDescent="0.3">
      <c r="A1148">
        <v>1147</v>
      </c>
      <c r="B1148">
        <v>774</v>
      </c>
      <c r="C1148" s="1">
        <v>45722</v>
      </c>
      <c r="D1148" t="s">
        <v>20</v>
      </c>
      <c r="E1148" t="s">
        <v>17</v>
      </c>
      <c r="F1148" t="s">
        <v>25</v>
      </c>
      <c r="G1148">
        <v>64</v>
      </c>
    </row>
    <row r="1149" spans="1:7" x14ac:dyDescent="0.3">
      <c r="A1149">
        <v>1148</v>
      </c>
      <c r="B1149">
        <v>776</v>
      </c>
      <c r="C1149" s="1">
        <v>45722</v>
      </c>
      <c r="D1149" t="s">
        <v>20</v>
      </c>
      <c r="E1149" t="s">
        <v>19</v>
      </c>
      <c r="F1149" t="s">
        <v>25</v>
      </c>
      <c r="G1149">
        <v>109</v>
      </c>
    </row>
    <row r="1150" spans="1:7" x14ac:dyDescent="0.3">
      <c r="A1150">
        <v>1149</v>
      </c>
      <c r="B1150">
        <v>777</v>
      </c>
      <c r="C1150" s="1">
        <v>45722</v>
      </c>
      <c r="D1150" t="s">
        <v>21</v>
      </c>
      <c r="E1150" t="s">
        <v>16</v>
      </c>
      <c r="F1150" t="s">
        <v>25</v>
      </c>
      <c r="G1150">
        <v>21</v>
      </c>
    </row>
    <row r="1151" spans="1:7" x14ac:dyDescent="0.3">
      <c r="A1151">
        <v>1150</v>
      </c>
      <c r="B1151">
        <v>778</v>
      </c>
      <c r="C1151" s="1">
        <v>45722</v>
      </c>
      <c r="D1151" t="s">
        <v>21</v>
      </c>
      <c r="E1151" t="s">
        <v>17</v>
      </c>
      <c r="F1151" t="s">
        <v>26</v>
      </c>
      <c r="G1151">
        <v>15</v>
      </c>
    </row>
    <row r="1152" spans="1:7" x14ac:dyDescent="0.3">
      <c r="A1152">
        <v>1151</v>
      </c>
      <c r="B1152">
        <v>780</v>
      </c>
      <c r="C1152" s="1">
        <v>45722</v>
      </c>
      <c r="D1152" t="s">
        <v>21</v>
      </c>
      <c r="E1152" t="s">
        <v>19</v>
      </c>
      <c r="F1152" t="s">
        <v>25</v>
      </c>
      <c r="G1152">
        <v>48</v>
      </c>
    </row>
    <row r="1153" spans="1:7" x14ac:dyDescent="0.3">
      <c r="A1153">
        <v>1152</v>
      </c>
      <c r="B1153">
        <v>780</v>
      </c>
      <c r="C1153" s="1">
        <v>45722</v>
      </c>
      <c r="D1153" t="s">
        <v>21</v>
      </c>
      <c r="E1153" t="s">
        <v>19</v>
      </c>
      <c r="F1153" t="s">
        <v>28</v>
      </c>
      <c r="G1153">
        <v>148</v>
      </c>
    </row>
    <row r="1154" spans="1:7" x14ac:dyDescent="0.3">
      <c r="A1154">
        <v>1153</v>
      </c>
      <c r="B1154">
        <v>783</v>
      </c>
      <c r="C1154" s="1">
        <v>45723</v>
      </c>
      <c r="D1154" t="s">
        <v>15</v>
      </c>
      <c r="E1154" t="s">
        <v>18</v>
      </c>
      <c r="F1154" t="s">
        <v>27</v>
      </c>
      <c r="G1154">
        <v>5</v>
      </c>
    </row>
    <row r="1155" spans="1:7" x14ac:dyDescent="0.3">
      <c r="A1155">
        <v>1154</v>
      </c>
      <c r="B1155">
        <v>784</v>
      </c>
      <c r="C1155" s="1">
        <v>45723</v>
      </c>
      <c r="D1155" t="s">
        <v>15</v>
      </c>
      <c r="E1155" t="s">
        <v>19</v>
      </c>
      <c r="F1155" t="s">
        <v>28</v>
      </c>
      <c r="G1155">
        <v>103</v>
      </c>
    </row>
    <row r="1156" spans="1:7" x14ac:dyDescent="0.3">
      <c r="A1156">
        <v>1155</v>
      </c>
      <c r="B1156">
        <v>784</v>
      </c>
      <c r="C1156" s="1">
        <v>45723</v>
      </c>
      <c r="D1156" t="s">
        <v>15</v>
      </c>
      <c r="E1156" t="s">
        <v>19</v>
      </c>
      <c r="F1156" t="s">
        <v>25</v>
      </c>
      <c r="G1156">
        <v>5</v>
      </c>
    </row>
    <row r="1157" spans="1:7" x14ac:dyDescent="0.3">
      <c r="A1157">
        <v>1156</v>
      </c>
      <c r="B1157">
        <v>785</v>
      </c>
      <c r="C1157" s="1">
        <v>45723</v>
      </c>
      <c r="D1157" t="s">
        <v>20</v>
      </c>
      <c r="E1157" t="s">
        <v>16</v>
      </c>
      <c r="F1157" t="s">
        <v>26</v>
      </c>
      <c r="G1157">
        <v>39</v>
      </c>
    </row>
    <row r="1158" spans="1:7" x14ac:dyDescent="0.3">
      <c r="A1158">
        <v>1157</v>
      </c>
      <c r="B1158">
        <v>785</v>
      </c>
      <c r="C1158" s="1">
        <v>45723</v>
      </c>
      <c r="D1158" t="s">
        <v>20</v>
      </c>
      <c r="E1158" t="s">
        <v>16</v>
      </c>
      <c r="F1158" t="s">
        <v>25</v>
      </c>
      <c r="G1158">
        <v>20</v>
      </c>
    </row>
    <row r="1159" spans="1:7" x14ac:dyDescent="0.3">
      <c r="A1159">
        <v>1158</v>
      </c>
      <c r="B1159">
        <v>785</v>
      </c>
      <c r="C1159" s="1">
        <v>45723</v>
      </c>
      <c r="D1159" t="s">
        <v>20</v>
      </c>
      <c r="E1159" t="s">
        <v>16</v>
      </c>
      <c r="F1159" t="s">
        <v>26</v>
      </c>
      <c r="G1159">
        <v>5</v>
      </c>
    </row>
    <row r="1160" spans="1:7" x14ac:dyDescent="0.3">
      <c r="A1160">
        <v>1159</v>
      </c>
      <c r="B1160">
        <v>785</v>
      </c>
      <c r="C1160" s="1">
        <v>45723</v>
      </c>
      <c r="D1160" t="s">
        <v>20</v>
      </c>
      <c r="E1160" t="s">
        <v>16</v>
      </c>
      <c r="F1160" t="s">
        <v>27</v>
      </c>
      <c r="G1160">
        <v>15</v>
      </c>
    </row>
    <row r="1161" spans="1:7" x14ac:dyDescent="0.3">
      <c r="A1161">
        <v>1160</v>
      </c>
      <c r="B1161">
        <v>786</v>
      </c>
      <c r="C1161" s="1">
        <v>45723</v>
      </c>
      <c r="D1161" t="s">
        <v>20</v>
      </c>
      <c r="E1161" t="s">
        <v>17</v>
      </c>
      <c r="F1161" t="s">
        <v>29</v>
      </c>
      <c r="G1161">
        <v>13</v>
      </c>
    </row>
    <row r="1162" spans="1:7" x14ac:dyDescent="0.3">
      <c r="A1162">
        <v>1161</v>
      </c>
      <c r="B1162">
        <v>786</v>
      </c>
      <c r="C1162" s="1">
        <v>45723</v>
      </c>
      <c r="D1162" t="s">
        <v>20</v>
      </c>
      <c r="E1162" t="s">
        <v>17</v>
      </c>
      <c r="F1162" t="s">
        <v>26</v>
      </c>
      <c r="G1162">
        <v>29</v>
      </c>
    </row>
    <row r="1163" spans="1:7" x14ac:dyDescent="0.3">
      <c r="A1163">
        <v>1162</v>
      </c>
      <c r="B1163">
        <v>786</v>
      </c>
      <c r="C1163" s="1">
        <v>45723</v>
      </c>
      <c r="D1163" t="s">
        <v>20</v>
      </c>
      <c r="E1163" t="s">
        <v>17</v>
      </c>
      <c r="F1163" t="s">
        <v>27</v>
      </c>
      <c r="G1163">
        <v>5</v>
      </c>
    </row>
    <row r="1164" spans="1:7" x14ac:dyDescent="0.3">
      <c r="A1164">
        <v>1163</v>
      </c>
      <c r="B1164">
        <v>787</v>
      </c>
      <c r="C1164" s="1">
        <v>45723</v>
      </c>
      <c r="D1164" t="s">
        <v>20</v>
      </c>
      <c r="E1164" t="s">
        <v>18</v>
      </c>
      <c r="F1164" t="s">
        <v>25</v>
      </c>
      <c r="G1164">
        <v>59</v>
      </c>
    </row>
    <row r="1165" spans="1:7" x14ac:dyDescent="0.3">
      <c r="A1165">
        <v>1164</v>
      </c>
      <c r="B1165">
        <v>789</v>
      </c>
      <c r="C1165" s="1">
        <v>45723</v>
      </c>
      <c r="D1165" t="s">
        <v>21</v>
      </c>
      <c r="E1165" t="s">
        <v>16</v>
      </c>
      <c r="F1165" t="s">
        <v>25</v>
      </c>
      <c r="G1165">
        <v>5</v>
      </c>
    </row>
    <row r="1166" spans="1:7" x14ac:dyDescent="0.3">
      <c r="A1166">
        <v>1165</v>
      </c>
      <c r="B1166">
        <v>789</v>
      </c>
      <c r="C1166" s="1">
        <v>45723</v>
      </c>
      <c r="D1166" t="s">
        <v>21</v>
      </c>
      <c r="E1166" t="s">
        <v>16</v>
      </c>
      <c r="F1166" t="s">
        <v>27</v>
      </c>
      <c r="G1166">
        <v>12</v>
      </c>
    </row>
    <row r="1167" spans="1:7" x14ac:dyDescent="0.3">
      <c r="A1167">
        <v>1166</v>
      </c>
      <c r="B1167">
        <v>789</v>
      </c>
      <c r="C1167" s="1">
        <v>45723</v>
      </c>
      <c r="D1167" t="s">
        <v>21</v>
      </c>
      <c r="E1167" t="s">
        <v>16</v>
      </c>
      <c r="F1167" t="s">
        <v>27</v>
      </c>
      <c r="G1167">
        <v>5</v>
      </c>
    </row>
    <row r="1168" spans="1:7" x14ac:dyDescent="0.3">
      <c r="A1168">
        <v>1167</v>
      </c>
      <c r="B1168">
        <v>790</v>
      </c>
      <c r="C1168" s="1">
        <v>45723</v>
      </c>
      <c r="D1168" t="s">
        <v>21</v>
      </c>
      <c r="E1168" t="s">
        <v>17</v>
      </c>
      <c r="F1168" t="s">
        <v>30</v>
      </c>
      <c r="G1168">
        <v>13</v>
      </c>
    </row>
    <row r="1169" spans="1:7" x14ac:dyDescent="0.3">
      <c r="A1169">
        <v>1168</v>
      </c>
      <c r="B1169">
        <v>790</v>
      </c>
      <c r="C1169" s="1">
        <v>45723</v>
      </c>
      <c r="D1169" t="s">
        <v>21</v>
      </c>
      <c r="E1169" t="s">
        <v>17</v>
      </c>
      <c r="F1169" t="s">
        <v>25</v>
      </c>
      <c r="G1169">
        <v>12</v>
      </c>
    </row>
    <row r="1170" spans="1:7" x14ac:dyDescent="0.3">
      <c r="A1170">
        <v>1169</v>
      </c>
      <c r="B1170">
        <v>791</v>
      </c>
      <c r="C1170" s="1">
        <v>45723</v>
      </c>
      <c r="D1170" t="s">
        <v>21</v>
      </c>
      <c r="E1170" t="s">
        <v>18</v>
      </c>
      <c r="F1170" t="s">
        <v>29</v>
      </c>
      <c r="G1170">
        <v>27</v>
      </c>
    </row>
    <row r="1171" spans="1:7" x14ac:dyDescent="0.3">
      <c r="A1171">
        <v>1170</v>
      </c>
      <c r="B1171">
        <v>793</v>
      </c>
      <c r="C1171" s="1">
        <v>45724</v>
      </c>
      <c r="D1171" t="s">
        <v>15</v>
      </c>
      <c r="E1171" t="s">
        <v>16</v>
      </c>
      <c r="F1171" t="s">
        <v>29</v>
      </c>
      <c r="G1171">
        <v>40</v>
      </c>
    </row>
    <row r="1172" spans="1:7" x14ac:dyDescent="0.3">
      <c r="A1172">
        <v>1171</v>
      </c>
      <c r="B1172">
        <v>793</v>
      </c>
      <c r="C1172" s="1">
        <v>45724</v>
      </c>
      <c r="D1172" t="s">
        <v>15</v>
      </c>
      <c r="E1172" t="s">
        <v>16</v>
      </c>
      <c r="F1172" t="s">
        <v>27</v>
      </c>
      <c r="G1172">
        <v>25</v>
      </c>
    </row>
    <row r="1173" spans="1:7" x14ac:dyDescent="0.3">
      <c r="A1173">
        <v>1172</v>
      </c>
      <c r="B1173">
        <v>793</v>
      </c>
      <c r="C1173" s="1">
        <v>45724</v>
      </c>
      <c r="D1173" t="s">
        <v>15</v>
      </c>
      <c r="E1173" t="s">
        <v>16</v>
      </c>
      <c r="F1173" t="s">
        <v>27</v>
      </c>
      <c r="G1173">
        <v>13</v>
      </c>
    </row>
    <row r="1174" spans="1:7" x14ac:dyDescent="0.3">
      <c r="A1174">
        <v>1173</v>
      </c>
      <c r="B1174">
        <v>794</v>
      </c>
      <c r="C1174" s="1">
        <v>45724</v>
      </c>
      <c r="D1174" t="s">
        <v>15</v>
      </c>
      <c r="E1174" t="s">
        <v>17</v>
      </c>
      <c r="F1174" t="s">
        <v>28</v>
      </c>
      <c r="G1174">
        <v>45</v>
      </c>
    </row>
    <row r="1175" spans="1:7" x14ac:dyDescent="0.3">
      <c r="A1175">
        <v>1174</v>
      </c>
      <c r="B1175">
        <v>794</v>
      </c>
      <c r="C1175" s="1">
        <v>45724</v>
      </c>
      <c r="D1175" t="s">
        <v>15</v>
      </c>
      <c r="E1175" t="s">
        <v>17</v>
      </c>
      <c r="F1175" t="s">
        <v>26</v>
      </c>
      <c r="G1175">
        <v>23</v>
      </c>
    </row>
    <row r="1176" spans="1:7" x14ac:dyDescent="0.3">
      <c r="A1176">
        <v>1175</v>
      </c>
      <c r="B1176">
        <v>796</v>
      </c>
      <c r="C1176" s="1">
        <v>45724</v>
      </c>
      <c r="D1176" t="s">
        <v>15</v>
      </c>
      <c r="E1176" t="s">
        <v>19</v>
      </c>
      <c r="F1176" t="s">
        <v>25</v>
      </c>
      <c r="G1176">
        <v>23</v>
      </c>
    </row>
    <row r="1177" spans="1:7" x14ac:dyDescent="0.3">
      <c r="A1177">
        <v>1176</v>
      </c>
      <c r="B1177">
        <v>797</v>
      </c>
      <c r="C1177" s="1">
        <v>45724</v>
      </c>
      <c r="D1177" t="s">
        <v>20</v>
      </c>
      <c r="E1177" t="s">
        <v>16</v>
      </c>
      <c r="F1177" t="s">
        <v>25</v>
      </c>
      <c r="G1177">
        <v>187</v>
      </c>
    </row>
    <row r="1178" spans="1:7" x14ac:dyDescent="0.3">
      <c r="A1178">
        <v>1177</v>
      </c>
      <c r="B1178">
        <v>798</v>
      </c>
      <c r="C1178" s="1">
        <v>45724</v>
      </c>
      <c r="D1178" t="s">
        <v>20</v>
      </c>
      <c r="E1178" t="s">
        <v>17</v>
      </c>
      <c r="F1178" t="s">
        <v>28</v>
      </c>
      <c r="G1178">
        <v>11</v>
      </c>
    </row>
    <row r="1179" spans="1:7" x14ac:dyDescent="0.3">
      <c r="A1179">
        <v>1178</v>
      </c>
      <c r="B1179">
        <v>799</v>
      </c>
      <c r="C1179" s="1">
        <v>45724</v>
      </c>
      <c r="D1179" t="s">
        <v>20</v>
      </c>
      <c r="E1179" t="s">
        <v>18</v>
      </c>
      <c r="F1179" t="s">
        <v>25</v>
      </c>
      <c r="G1179">
        <v>18</v>
      </c>
    </row>
    <row r="1180" spans="1:7" x14ac:dyDescent="0.3">
      <c r="A1180">
        <v>1179</v>
      </c>
      <c r="B1180">
        <v>799</v>
      </c>
      <c r="C1180" s="1">
        <v>45724</v>
      </c>
      <c r="D1180" t="s">
        <v>20</v>
      </c>
      <c r="E1180" t="s">
        <v>18</v>
      </c>
      <c r="F1180" t="s">
        <v>25</v>
      </c>
      <c r="G1180">
        <v>199</v>
      </c>
    </row>
    <row r="1181" spans="1:7" x14ac:dyDescent="0.3">
      <c r="A1181">
        <v>1180</v>
      </c>
      <c r="B1181">
        <v>799</v>
      </c>
      <c r="C1181" s="1">
        <v>45724</v>
      </c>
      <c r="D1181" t="s">
        <v>20</v>
      </c>
      <c r="E1181" t="s">
        <v>18</v>
      </c>
      <c r="F1181" t="s">
        <v>27</v>
      </c>
      <c r="G1181">
        <v>26</v>
      </c>
    </row>
    <row r="1182" spans="1:7" x14ac:dyDescent="0.3">
      <c r="A1182">
        <v>1181</v>
      </c>
      <c r="B1182">
        <v>799</v>
      </c>
      <c r="C1182" s="1">
        <v>45724</v>
      </c>
      <c r="D1182" t="s">
        <v>20</v>
      </c>
      <c r="E1182" t="s">
        <v>18</v>
      </c>
      <c r="F1182" t="s">
        <v>26</v>
      </c>
      <c r="G1182">
        <v>7</v>
      </c>
    </row>
    <row r="1183" spans="1:7" x14ac:dyDescent="0.3">
      <c r="A1183">
        <v>1182</v>
      </c>
      <c r="B1183">
        <v>800</v>
      </c>
      <c r="C1183" s="1">
        <v>45724</v>
      </c>
      <c r="D1183" t="s">
        <v>20</v>
      </c>
      <c r="E1183" t="s">
        <v>19</v>
      </c>
      <c r="F1183" t="s">
        <v>25</v>
      </c>
      <c r="G1183">
        <v>95</v>
      </c>
    </row>
    <row r="1184" spans="1:7" x14ac:dyDescent="0.3">
      <c r="A1184">
        <v>1183</v>
      </c>
      <c r="B1184">
        <v>801</v>
      </c>
      <c r="C1184" s="1">
        <v>45724</v>
      </c>
      <c r="D1184" t="s">
        <v>21</v>
      </c>
      <c r="E1184" t="s">
        <v>16</v>
      </c>
      <c r="F1184" t="s">
        <v>26</v>
      </c>
      <c r="G1184">
        <v>52</v>
      </c>
    </row>
    <row r="1185" spans="1:7" x14ac:dyDescent="0.3">
      <c r="A1185">
        <v>1184</v>
      </c>
      <c r="B1185">
        <v>802</v>
      </c>
      <c r="C1185" s="1">
        <v>45724</v>
      </c>
      <c r="D1185" t="s">
        <v>21</v>
      </c>
      <c r="E1185" t="s">
        <v>17</v>
      </c>
      <c r="F1185" t="s">
        <v>26</v>
      </c>
      <c r="G1185">
        <v>11</v>
      </c>
    </row>
    <row r="1186" spans="1:7" x14ac:dyDescent="0.3">
      <c r="A1186">
        <v>1185</v>
      </c>
      <c r="B1186">
        <v>802</v>
      </c>
      <c r="C1186" s="1">
        <v>45724</v>
      </c>
      <c r="D1186" t="s">
        <v>21</v>
      </c>
      <c r="E1186" t="s">
        <v>17</v>
      </c>
      <c r="F1186" t="s">
        <v>27</v>
      </c>
      <c r="G1186">
        <v>29</v>
      </c>
    </row>
    <row r="1187" spans="1:7" x14ac:dyDescent="0.3">
      <c r="A1187">
        <v>1186</v>
      </c>
      <c r="B1187">
        <v>803</v>
      </c>
      <c r="C1187" s="1">
        <v>45724</v>
      </c>
      <c r="D1187" t="s">
        <v>21</v>
      </c>
      <c r="E1187" t="s">
        <v>18</v>
      </c>
      <c r="F1187" t="s">
        <v>29</v>
      </c>
      <c r="G1187">
        <v>59</v>
      </c>
    </row>
    <row r="1188" spans="1:7" x14ac:dyDescent="0.3">
      <c r="A1188">
        <v>1187</v>
      </c>
      <c r="B1188">
        <v>803</v>
      </c>
      <c r="C1188" s="1">
        <v>45724</v>
      </c>
      <c r="D1188" t="s">
        <v>21</v>
      </c>
      <c r="E1188" t="s">
        <v>18</v>
      </c>
      <c r="F1188" t="s">
        <v>25</v>
      </c>
      <c r="G1188">
        <v>124</v>
      </c>
    </row>
    <row r="1189" spans="1:7" x14ac:dyDescent="0.3">
      <c r="A1189">
        <v>1188</v>
      </c>
      <c r="B1189">
        <v>803</v>
      </c>
      <c r="C1189" s="1">
        <v>45724</v>
      </c>
      <c r="D1189" t="s">
        <v>21</v>
      </c>
      <c r="E1189" t="s">
        <v>18</v>
      </c>
      <c r="F1189" t="s">
        <v>30</v>
      </c>
      <c r="G1189">
        <v>23</v>
      </c>
    </row>
    <row r="1190" spans="1:7" x14ac:dyDescent="0.3">
      <c r="A1190">
        <v>1189</v>
      </c>
      <c r="B1190">
        <v>804</v>
      </c>
      <c r="C1190" s="1">
        <v>45724</v>
      </c>
      <c r="D1190" t="s">
        <v>21</v>
      </c>
      <c r="E1190" t="s">
        <v>19</v>
      </c>
      <c r="F1190" t="s">
        <v>25</v>
      </c>
      <c r="G1190">
        <v>34</v>
      </c>
    </row>
    <row r="1191" spans="1:7" x14ac:dyDescent="0.3">
      <c r="A1191">
        <v>1190</v>
      </c>
      <c r="B1191">
        <v>804</v>
      </c>
      <c r="C1191" s="1">
        <v>45724</v>
      </c>
      <c r="D1191" t="s">
        <v>21</v>
      </c>
      <c r="E1191" t="s">
        <v>19</v>
      </c>
      <c r="F1191" t="s">
        <v>27</v>
      </c>
      <c r="G1191">
        <v>20</v>
      </c>
    </row>
    <row r="1192" spans="1:7" x14ac:dyDescent="0.3">
      <c r="A1192">
        <v>1191</v>
      </c>
      <c r="B1192">
        <v>804</v>
      </c>
      <c r="C1192" s="1">
        <v>45724</v>
      </c>
      <c r="D1192" t="s">
        <v>21</v>
      </c>
      <c r="E1192" t="s">
        <v>19</v>
      </c>
      <c r="F1192" t="s">
        <v>25</v>
      </c>
      <c r="G1192">
        <v>145</v>
      </c>
    </row>
    <row r="1193" spans="1:7" x14ac:dyDescent="0.3">
      <c r="A1193">
        <v>1192</v>
      </c>
      <c r="B1193">
        <v>806</v>
      </c>
      <c r="C1193" s="1">
        <v>45725</v>
      </c>
      <c r="D1193" t="s">
        <v>15</v>
      </c>
      <c r="E1193" t="s">
        <v>17</v>
      </c>
      <c r="F1193" t="s">
        <v>27</v>
      </c>
      <c r="G1193">
        <v>12</v>
      </c>
    </row>
    <row r="1194" spans="1:7" x14ac:dyDescent="0.3">
      <c r="A1194">
        <v>1193</v>
      </c>
      <c r="B1194">
        <v>806</v>
      </c>
      <c r="C1194" s="1">
        <v>45725</v>
      </c>
      <c r="D1194" t="s">
        <v>15</v>
      </c>
      <c r="E1194" t="s">
        <v>17</v>
      </c>
      <c r="F1194" t="s">
        <v>27</v>
      </c>
      <c r="G1194">
        <v>5</v>
      </c>
    </row>
    <row r="1195" spans="1:7" x14ac:dyDescent="0.3">
      <c r="A1195">
        <v>1194</v>
      </c>
      <c r="B1195">
        <v>807</v>
      </c>
      <c r="C1195" s="1">
        <v>45725</v>
      </c>
      <c r="D1195" t="s">
        <v>15</v>
      </c>
      <c r="E1195" t="s">
        <v>18</v>
      </c>
      <c r="F1195" t="s">
        <v>26</v>
      </c>
      <c r="G1195">
        <v>5</v>
      </c>
    </row>
    <row r="1196" spans="1:7" x14ac:dyDescent="0.3">
      <c r="A1196">
        <v>1195</v>
      </c>
      <c r="B1196">
        <v>807</v>
      </c>
      <c r="C1196" s="1">
        <v>45725</v>
      </c>
      <c r="D1196" t="s">
        <v>15</v>
      </c>
      <c r="E1196" t="s">
        <v>18</v>
      </c>
      <c r="F1196" t="s">
        <v>29</v>
      </c>
      <c r="G1196">
        <v>23</v>
      </c>
    </row>
    <row r="1197" spans="1:7" x14ac:dyDescent="0.3">
      <c r="A1197">
        <v>1196</v>
      </c>
      <c r="B1197">
        <v>808</v>
      </c>
      <c r="C1197" s="1">
        <v>45725</v>
      </c>
      <c r="D1197" t="s">
        <v>15</v>
      </c>
      <c r="E1197" t="s">
        <v>19</v>
      </c>
      <c r="F1197" t="s">
        <v>26</v>
      </c>
      <c r="G1197">
        <v>8</v>
      </c>
    </row>
    <row r="1198" spans="1:7" x14ac:dyDescent="0.3">
      <c r="A1198">
        <v>1197</v>
      </c>
      <c r="B1198">
        <v>809</v>
      </c>
      <c r="C1198" s="1">
        <v>45725</v>
      </c>
      <c r="D1198" t="s">
        <v>20</v>
      </c>
      <c r="E1198" t="s">
        <v>16</v>
      </c>
      <c r="F1198" t="s">
        <v>25</v>
      </c>
      <c r="G1198">
        <v>35</v>
      </c>
    </row>
    <row r="1199" spans="1:7" x14ac:dyDescent="0.3">
      <c r="A1199">
        <v>1198</v>
      </c>
      <c r="B1199">
        <v>809</v>
      </c>
      <c r="C1199" s="1">
        <v>45725</v>
      </c>
      <c r="D1199" t="s">
        <v>20</v>
      </c>
      <c r="E1199" t="s">
        <v>16</v>
      </c>
      <c r="F1199" t="s">
        <v>27</v>
      </c>
      <c r="G1199">
        <v>5</v>
      </c>
    </row>
    <row r="1200" spans="1:7" x14ac:dyDescent="0.3">
      <c r="A1200">
        <v>1199</v>
      </c>
      <c r="B1200">
        <v>809</v>
      </c>
      <c r="C1200" s="1">
        <v>45725</v>
      </c>
      <c r="D1200" t="s">
        <v>20</v>
      </c>
      <c r="E1200" t="s">
        <v>16</v>
      </c>
      <c r="F1200" t="s">
        <v>27</v>
      </c>
      <c r="G1200">
        <v>38</v>
      </c>
    </row>
    <row r="1201" spans="1:7" x14ac:dyDescent="0.3">
      <c r="A1201">
        <v>1200</v>
      </c>
      <c r="B1201">
        <v>812</v>
      </c>
      <c r="C1201" s="1">
        <v>45725</v>
      </c>
      <c r="D1201" t="s">
        <v>20</v>
      </c>
      <c r="E1201" t="s">
        <v>19</v>
      </c>
      <c r="F1201" t="s">
        <v>30</v>
      </c>
      <c r="G1201">
        <v>5</v>
      </c>
    </row>
    <row r="1202" spans="1:7" x14ac:dyDescent="0.3">
      <c r="A1202">
        <v>1201</v>
      </c>
      <c r="B1202">
        <v>813</v>
      </c>
      <c r="C1202" s="1">
        <v>45725</v>
      </c>
      <c r="D1202" t="s">
        <v>21</v>
      </c>
      <c r="E1202" t="s">
        <v>16</v>
      </c>
      <c r="F1202" t="s">
        <v>29</v>
      </c>
      <c r="G1202">
        <v>22</v>
      </c>
    </row>
    <row r="1203" spans="1:7" x14ac:dyDescent="0.3">
      <c r="A1203">
        <v>1202</v>
      </c>
      <c r="B1203">
        <v>813</v>
      </c>
      <c r="C1203" s="1">
        <v>45725</v>
      </c>
      <c r="D1203" t="s">
        <v>21</v>
      </c>
      <c r="E1203" t="s">
        <v>16</v>
      </c>
      <c r="F1203" t="s">
        <v>25</v>
      </c>
      <c r="G1203">
        <v>25</v>
      </c>
    </row>
    <row r="1204" spans="1:7" x14ac:dyDescent="0.3">
      <c r="A1204">
        <v>1203</v>
      </c>
      <c r="B1204">
        <v>814</v>
      </c>
      <c r="C1204" s="1">
        <v>45725</v>
      </c>
      <c r="D1204" t="s">
        <v>21</v>
      </c>
      <c r="E1204" t="s">
        <v>17</v>
      </c>
      <c r="F1204" t="s">
        <v>27</v>
      </c>
      <c r="G1204">
        <v>33</v>
      </c>
    </row>
    <row r="1205" spans="1:7" x14ac:dyDescent="0.3">
      <c r="A1205">
        <v>1204</v>
      </c>
      <c r="B1205">
        <v>815</v>
      </c>
      <c r="C1205" s="1">
        <v>45725</v>
      </c>
      <c r="D1205" t="s">
        <v>21</v>
      </c>
      <c r="E1205" t="s">
        <v>18</v>
      </c>
      <c r="F1205" t="s">
        <v>30</v>
      </c>
      <c r="G1205">
        <v>10</v>
      </c>
    </row>
    <row r="1206" spans="1:7" x14ac:dyDescent="0.3">
      <c r="A1206">
        <v>1205</v>
      </c>
      <c r="B1206">
        <v>815</v>
      </c>
      <c r="C1206" s="1">
        <v>45725</v>
      </c>
      <c r="D1206" t="s">
        <v>21</v>
      </c>
      <c r="E1206" t="s">
        <v>18</v>
      </c>
      <c r="F1206" t="s">
        <v>27</v>
      </c>
      <c r="G1206">
        <v>13</v>
      </c>
    </row>
    <row r="1207" spans="1:7" x14ac:dyDescent="0.3">
      <c r="A1207">
        <v>1206</v>
      </c>
      <c r="B1207">
        <v>816</v>
      </c>
      <c r="C1207" s="1">
        <v>45725</v>
      </c>
      <c r="D1207" t="s">
        <v>21</v>
      </c>
      <c r="E1207" t="s">
        <v>19</v>
      </c>
      <c r="F1207" t="s">
        <v>27</v>
      </c>
      <c r="G1207">
        <v>17</v>
      </c>
    </row>
    <row r="1208" spans="1:7" x14ac:dyDescent="0.3">
      <c r="A1208">
        <v>1207</v>
      </c>
      <c r="B1208">
        <v>817</v>
      </c>
      <c r="C1208" s="1">
        <v>45726</v>
      </c>
      <c r="D1208" t="s">
        <v>15</v>
      </c>
      <c r="E1208" t="s">
        <v>16</v>
      </c>
      <c r="F1208" t="s">
        <v>25</v>
      </c>
      <c r="G1208">
        <v>12</v>
      </c>
    </row>
    <row r="1209" spans="1:7" x14ac:dyDescent="0.3">
      <c r="A1209">
        <v>1208</v>
      </c>
      <c r="B1209">
        <v>820</v>
      </c>
      <c r="C1209" s="1">
        <v>45726</v>
      </c>
      <c r="D1209" t="s">
        <v>15</v>
      </c>
      <c r="E1209" t="s">
        <v>19</v>
      </c>
      <c r="F1209" t="s">
        <v>27</v>
      </c>
      <c r="G1209">
        <v>67</v>
      </c>
    </row>
    <row r="1210" spans="1:7" x14ac:dyDescent="0.3">
      <c r="A1210">
        <v>1209</v>
      </c>
      <c r="B1210">
        <v>821</v>
      </c>
      <c r="C1210" s="1">
        <v>45726</v>
      </c>
      <c r="D1210" t="s">
        <v>20</v>
      </c>
      <c r="E1210" t="s">
        <v>16</v>
      </c>
      <c r="F1210" t="s">
        <v>30</v>
      </c>
      <c r="G1210">
        <v>5</v>
      </c>
    </row>
    <row r="1211" spans="1:7" x14ac:dyDescent="0.3">
      <c r="A1211">
        <v>1210</v>
      </c>
      <c r="B1211">
        <v>822</v>
      </c>
      <c r="C1211" s="1">
        <v>45726</v>
      </c>
      <c r="D1211" t="s">
        <v>20</v>
      </c>
      <c r="E1211" t="s">
        <v>17</v>
      </c>
      <c r="F1211" t="s">
        <v>27</v>
      </c>
      <c r="G1211">
        <v>5</v>
      </c>
    </row>
    <row r="1212" spans="1:7" x14ac:dyDescent="0.3">
      <c r="A1212">
        <v>1211</v>
      </c>
      <c r="B1212">
        <v>822</v>
      </c>
      <c r="C1212" s="1">
        <v>45726</v>
      </c>
      <c r="D1212" t="s">
        <v>20</v>
      </c>
      <c r="E1212" t="s">
        <v>17</v>
      </c>
      <c r="F1212" t="s">
        <v>26</v>
      </c>
      <c r="G1212">
        <v>5</v>
      </c>
    </row>
    <row r="1213" spans="1:7" x14ac:dyDescent="0.3">
      <c r="A1213">
        <v>1212</v>
      </c>
      <c r="B1213">
        <v>823</v>
      </c>
      <c r="C1213" s="1">
        <v>45726</v>
      </c>
      <c r="D1213" t="s">
        <v>20</v>
      </c>
      <c r="E1213" t="s">
        <v>18</v>
      </c>
      <c r="F1213" t="s">
        <v>25</v>
      </c>
      <c r="G1213">
        <v>106</v>
      </c>
    </row>
    <row r="1214" spans="1:7" x14ac:dyDescent="0.3">
      <c r="A1214">
        <v>1213</v>
      </c>
      <c r="B1214">
        <v>823</v>
      </c>
      <c r="C1214" s="1">
        <v>45726</v>
      </c>
      <c r="D1214" t="s">
        <v>20</v>
      </c>
      <c r="E1214" t="s">
        <v>18</v>
      </c>
      <c r="F1214" t="s">
        <v>25</v>
      </c>
      <c r="G1214">
        <v>8</v>
      </c>
    </row>
    <row r="1215" spans="1:7" x14ac:dyDescent="0.3">
      <c r="A1215">
        <v>1214</v>
      </c>
      <c r="B1215">
        <v>825</v>
      </c>
      <c r="C1215" s="1">
        <v>45726</v>
      </c>
      <c r="D1215" t="s">
        <v>21</v>
      </c>
      <c r="E1215" t="s">
        <v>16</v>
      </c>
      <c r="F1215" t="s">
        <v>25</v>
      </c>
      <c r="G1215">
        <v>54</v>
      </c>
    </row>
    <row r="1216" spans="1:7" x14ac:dyDescent="0.3">
      <c r="A1216">
        <v>1215</v>
      </c>
      <c r="B1216">
        <v>825</v>
      </c>
      <c r="C1216" s="1">
        <v>45726</v>
      </c>
      <c r="D1216" t="s">
        <v>21</v>
      </c>
      <c r="E1216" t="s">
        <v>16</v>
      </c>
      <c r="F1216" t="s">
        <v>26</v>
      </c>
      <c r="G1216">
        <v>135</v>
      </c>
    </row>
    <row r="1217" spans="1:7" x14ac:dyDescent="0.3">
      <c r="A1217">
        <v>1216</v>
      </c>
      <c r="B1217">
        <v>827</v>
      </c>
      <c r="C1217" s="1">
        <v>45726</v>
      </c>
      <c r="D1217" t="s">
        <v>21</v>
      </c>
      <c r="E1217" t="s">
        <v>18</v>
      </c>
      <c r="F1217" t="s">
        <v>25</v>
      </c>
      <c r="G1217">
        <v>15</v>
      </c>
    </row>
    <row r="1218" spans="1:7" x14ac:dyDescent="0.3">
      <c r="A1218">
        <v>1217</v>
      </c>
      <c r="B1218">
        <v>827</v>
      </c>
      <c r="C1218" s="1">
        <v>45726</v>
      </c>
      <c r="D1218" t="s">
        <v>21</v>
      </c>
      <c r="E1218" t="s">
        <v>18</v>
      </c>
      <c r="F1218" t="s">
        <v>27</v>
      </c>
      <c r="G1218">
        <v>28</v>
      </c>
    </row>
    <row r="1219" spans="1:7" x14ac:dyDescent="0.3">
      <c r="A1219">
        <v>1218</v>
      </c>
      <c r="B1219">
        <v>827</v>
      </c>
      <c r="C1219" s="1">
        <v>45726</v>
      </c>
      <c r="D1219" t="s">
        <v>21</v>
      </c>
      <c r="E1219" t="s">
        <v>18</v>
      </c>
      <c r="F1219" t="s">
        <v>27</v>
      </c>
      <c r="G1219">
        <v>5</v>
      </c>
    </row>
    <row r="1220" spans="1:7" x14ac:dyDescent="0.3">
      <c r="A1220">
        <v>1219</v>
      </c>
      <c r="B1220">
        <v>827</v>
      </c>
      <c r="C1220" s="1">
        <v>45726</v>
      </c>
      <c r="D1220" t="s">
        <v>21</v>
      </c>
      <c r="E1220" t="s">
        <v>18</v>
      </c>
      <c r="F1220" t="s">
        <v>25</v>
      </c>
      <c r="G1220">
        <v>5</v>
      </c>
    </row>
    <row r="1221" spans="1:7" x14ac:dyDescent="0.3">
      <c r="A1221">
        <v>1220</v>
      </c>
      <c r="B1221">
        <v>828</v>
      </c>
      <c r="C1221" s="1">
        <v>45726</v>
      </c>
      <c r="D1221" t="s">
        <v>21</v>
      </c>
      <c r="E1221" t="s">
        <v>19</v>
      </c>
      <c r="F1221" t="s">
        <v>25</v>
      </c>
      <c r="G1221">
        <v>93</v>
      </c>
    </row>
    <row r="1222" spans="1:7" x14ac:dyDescent="0.3">
      <c r="A1222">
        <v>1221</v>
      </c>
      <c r="B1222">
        <v>828</v>
      </c>
      <c r="C1222" s="1">
        <v>45726</v>
      </c>
      <c r="D1222" t="s">
        <v>21</v>
      </c>
      <c r="E1222" t="s">
        <v>19</v>
      </c>
      <c r="F1222" t="s">
        <v>30</v>
      </c>
      <c r="G1222">
        <v>5</v>
      </c>
    </row>
    <row r="1223" spans="1:7" x14ac:dyDescent="0.3">
      <c r="A1223">
        <v>1222</v>
      </c>
      <c r="B1223">
        <v>828</v>
      </c>
      <c r="C1223" s="1">
        <v>45726</v>
      </c>
      <c r="D1223" t="s">
        <v>21</v>
      </c>
      <c r="E1223" t="s">
        <v>19</v>
      </c>
      <c r="F1223" t="s">
        <v>27</v>
      </c>
      <c r="G1223">
        <v>13</v>
      </c>
    </row>
    <row r="1224" spans="1:7" x14ac:dyDescent="0.3">
      <c r="A1224">
        <v>1223</v>
      </c>
      <c r="B1224">
        <v>829</v>
      </c>
      <c r="C1224" s="1">
        <v>45727</v>
      </c>
      <c r="D1224" t="s">
        <v>15</v>
      </c>
      <c r="E1224" t="s">
        <v>16</v>
      </c>
      <c r="F1224" t="s">
        <v>25</v>
      </c>
      <c r="G1224">
        <v>9</v>
      </c>
    </row>
    <row r="1225" spans="1:7" x14ac:dyDescent="0.3">
      <c r="A1225">
        <v>1224</v>
      </c>
      <c r="B1225">
        <v>829</v>
      </c>
      <c r="C1225" s="1">
        <v>45727</v>
      </c>
      <c r="D1225" t="s">
        <v>15</v>
      </c>
      <c r="E1225" t="s">
        <v>16</v>
      </c>
      <c r="F1225" t="s">
        <v>25</v>
      </c>
      <c r="G1225">
        <v>61</v>
      </c>
    </row>
    <row r="1226" spans="1:7" x14ac:dyDescent="0.3">
      <c r="A1226">
        <v>1225</v>
      </c>
      <c r="B1226">
        <v>830</v>
      </c>
      <c r="C1226" s="1">
        <v>45727</v>
      </c>
      <c r="D1226" t="s">
        <v>15</v>
      </c>
      <c r="E1226" t="s">
        <v>17</v>
      </c>
      <c r="F1226" t="s">
        <v>25</v>
      </c>
      <c r="G1226">
        <v>12</v>
      </c>
    </row>
    <row r="1227" spans="1:7" x14ac:dyDescent="0.3">
      <c r="A1227">
        <v>1226</v>
      </c>
      <c r="B1227">
        <v>831</v>
      </c>
      <c r="C1227" s="1">
        <v>45727</v>
      </c>
      <c r="D1227" t="s">
        <v>15</v>
      </c>
      <c r="E1227" t="s">
        <v>18</v>
      </c>
      <c r="F1227" t="s">
        <v>28</v>
      </c>
      <c r="G1227">
        <v>5</v>
      </c>
    </row>
    <row r="1228" spans="1:7" x14ac:dyDescent="0.3">
      <c r="A1228">
        <v>1227</v>
      </c>
      <c r="B1228">
        <v>832</v>
      </c>
      <c r="C1228" s="1">
        <v>45727</v>
      </c>
      <c r="D1228" t="s">
        <v>15</v>
      </c>
      <c r="E1228" t="s">
        <v>19</v>
      </c>
      <c r="F1228" t="s">
        <v>30</v>
      </c>
      <c r="G1228">
        <v>10</v>
      </c>
    </row>
    <row r="1229" spans="1:7" x14ac:dyDescent="0.3">
      <c r="A1229">
        <v>1228</v>
      </c>
      <c r="B1229">
        <v>834</v>
      </c>
      <c r="C1229" s="1">
        <v>45727</v>
      </c>
      <c r="D1229" t="s">
        <v>20</v>
      </c>
      <c r="E1229" t="s">
        <v>17</v>
      </c>
      <c r="F1229" t="s">
        <v>25</v>
      </c>
      <c r="G1229">
        <v>157</v>
      </c>
    </row>
    <row r="1230" spans="1:7" x14ac:dyDescent="0.3">
      <c r="A1230">
        <v>1229</v>
      </c>
      <c r="B1230">
        <v>835</v>
      </c>
      <c r="C1230" s="1">
        <v>45727</v>
      </c>
      <c r="D1230" t="s">
        <v>20</v>
      </c>
      <c r="E1230" t="s">
        <v>18</v>
      </c>
      <c r="F1230" t="s">
        <v>25</v>
      </c>
      <c r="G1230">
        <v>53</v>
      </c>
    </row>
    <row r="1231" spans="1:7" x14ac:dyDescent="0.3">
      <c r="A1231">
        <v>1230</v>
      </c>
      <c r="B1231">
        <v>835</v>
      </c>
      <c r="C1231" s="1">
        <v>45727</v>
      </c>
      <c r="D1231" t="s">
        <v>20</v>
      </c>
      <c r="E1231" t="s">
        <v>18</v>
      </c>
      <c r="F1231" t="s">
        <v>26</v>
      </c>
      <c r="G1231">
        <v>45</v>
      </c>
    </row>
    <row r="1232" spans="1:7" x14ac:dyDescent="0.3">
      <c r="A1232">
        <v>1231</v>
      </c>
      <c r="B1232">
        <v>838</v>
      </c>
      <c r="C1232" s="1">
        <v>45727</v>
      </c>
      <c r="D1232" t="s">
        <v>21</v>
      </c>
      <c r="E1232" t="s">
        <v>17</v>
      </c>
      <c r="F1232" t="s">
        <v>28</v>
      </c>
      <c r="G1232">
        <v>17</v>
      </c>
    </row>
    <row r="1233" spans="1:7" x14ac:dyDescent="0.3">
      <c r="A1233">
        <v>1232</v>
      </c>
      <c r="B1233">
        <v>838</v>
      </c>
      <c r="C1233" s="1">
        <v>45727</v>
      </c>
      <c r="D1233" t="s">
        <v>21</v>
      </c>
      <c r="E1233" t="s">
        <v>17</v>
      </c>
      <c r="F1233" t="s">
        <v>25</v>
      </c>
      <c r="G1233">
        <v>23</v>
      </c>
    </row>
    <row r="1234" spans="1:7" x14ac:dyDescent="0.3">
      <c r="A1234">
        <v>1233</v>
      </c>
      <c r="B1234">
        <v>838</v>
      </c>
      <c r="C1234" s="1">
        <v>45727</v>
      </c>
      <c r="D1234" t="s">
        <v>21</v>
      </c>
      <c r="E1234" t="s">
        <v>17</v>
      </c>
      <c r="F1234" t="s">
        <v>25</v>
      </c>
      <c r="G1234">
        <v>30</v>
      </c>
    </row>
    <row r="1235" spans="1:7" x14ac:dyDescent="0.3">
      <c r="A1235">
        <v>1234</v>
      </c>
      <c r="B1235">
        <v>839</v>
      </c>
      <c r="C1235" s="1">
        <v>45727</v>
      </c>
      <c r="D1235" t="s">
        <v>21</v>
      </c>
      <c r="E1235" t="s">
        <v>18</v>
      </c>
      <c r="F1235" t="s">
        <v>25</v>
      </c>
      <c r="G1235">
        <v>20</v>
      </c>
    </row>
    <row r="1236" spans="1:7" x14ac:dyDescent="0.3">
      <c r="A1236">
        <v>1235</v>
      </c>
      <c r="B1236">
        <v>839</v>
      </c>
      <c r="C1236" s="1">
        <v>45727</v>
      </c>
      <c r="D1236" t="s">
        <v>21</v>
      </c>
      <c r="E1236" t="s">
        <v>18</v>
      </c>
      <c r="F1236" t="s">
        <v>27</v>
      </c>
      <c r="G1236">
        <v>5</v>
      </c>
    </row>
    <row r="1237" spans="1:7" x14ac:dyDescent="0.3">
      <c r="A1237">
        <v>1236</v>
      </c>
      <c r="B1237">
        <v>841</v>
      </c>
      <c r="C1237" s="1">
        <v>45728</v>
      </c>
      <c r="D1237" t="s">
        <v>15</v>
      </c>
      <c r="E1237" t="s">
        <v>16</v>
      </c>
      <c r="F1237" t="s">
        <v>28</v>
      </c>
      <c r="G1237">
        <v>91</v>
      </c>
    </row>
    <row r="1238" spans="1:7" x14ac:dyDescent="0.3">
      <c r="A1238">
        <v>1237</v>
      </c>
      <c r="B1238">
        <v>842</v>
      </c>
      <c r="C1238" s="1">
        <v>45728</v>
      </c>
      <c r="D1238" t="s">
        <v>15</v>
      </c>
      <c r="E1238" t="s">
        <v>17</v>
      </c>
      <c r="F1238" t="s">
        <v>27</v>
      </c>
      <c r="G1238">
        <v>37</v>
      </c>
    </row>
    <row r="1239" spans="1:7" x14ac:dyDescent="0.3">
      <c r="A1239">
        <v>1238</v>
      </c>
      <c r="B1239">
        <v>842</v>
      </c>
      <c r="C1239" s="1">
        <v>45728</v>
      </c>
      <c r="D1239" t="s">
        <v>15</v>
      </c>
      <c r="E1239" t="s">
        <v>17</v>
      </c>
      <c r="F1239" t="s">
        <v>26</v>
      </c>
      <c r="G1239">
        <v>31</v>
      </c>
    </row>
    <row r="1240" spans="1:7" x14ac:dyDescent="0.3">
      <c r="A1240">
        <v>1239</v>
      </c>
      <c r="B1240">
        <v>843</v>
      </c>
      <c r="C1240" s="1">
        <v>45728</v>
      </c>
      <c r="D1240" t="s">
        <v>15</v>
      </c>
      <c r="E1240" t="s">
        <v>18</v>
      </c>
      <c r="F1240" t="s">
        <v>27</v>
      </c>
      <c r="G1240">
        <v>26</v>
      </c>
    </row>
    <row r="1241" spans="1:7" x14ac:dyDescent="0.3">
      <c r="A1241">
        <v>1240</v>
      </c>
      <c r="B1241">
        <v>846</v>
      </c>
      <c r="C1241" s="1">
        <v>45728</v>
      </c>
      <c r="D1241" t="s">
        <v>20</v>
      </c>
      <c r="E1241" t="s">
        <v>17</v>
      </c>
      <c r="F1241" t="s">
        <v>27</v>
      </c>
      <c r="G1241">
        <v>15</v>
      </c>
    </row>
    <row r="1242" spans="1:7" x14ac:dyDescent="0.3">
      <c r="A1242">
        <v>1241</v>
      </c>
      <c r="B1242">
        <v>847</v>
      </c>
      <c r="C1242" s="1">
        <v>45728</v>
      </c>
      <c r="D1242" t="s">
        <v>20</v>
      </c>
      <c r="E1242" t="s">
        <v>18</v>
      </c>
      <c r="F1242" t="s">
        <v>25</v>
      </c>
      <c r="G1242">
        <v>85</v>
      </c>
    </row>
    <row r="1243" spans="1:7" x14ac:dyDescent="0.3">
      <c r="A1243">
        <v>1242</v>
      </c>
      <c r="B1243">
        <v>848</v>
      </c>
      <c r="C1243" s="1">
        <v>45728</v>
      </c>
      <c r="D1243" t="s">
        <v>20</v>
      </c>
      <c r="E1243" t="s">
        <v>19</v>
      </c>
      <c r="F1243" t="s">
        <v>25</v>
      </c>
      <c r="G1243">
        <v>45</v>
      </c>
    </row>
    <row r="1244" spans="1:7" x14ac:dyDescent="0.3">
      <c r="A1244">
        <v>1243</v>
      </c>
      <c r="B1244">
        <v>848</v>
      </c>
      <c r="C1244" s="1">
        <v>45728</v>
      </c>
      <c r="D1244" t="s">
        <v>20</v>
      </c>
      <c r="E1244" t="s">
        <v>19</v>
      </c>
      <c r="F1244" t="s">
        <v>27</v>
      </c>
      <c r="G1244">
        <v>52</v>
      </c>
    </row>
    <row r="1245" spans="1:7" x14ac:dyDescent="0.3">
      <c r="A1245">
        <v>1244</v>
      </c>
      <c r="B1245">
        <v>848</v>
      </c>
      <c r="C1245" s="1">
        <v>45728</v>
      </c>
      <c r="D1245" t="s">
        <v>20</v>
      </c>
      <c r="E1245" t="s">
        <v>19</v>
      </c>
      <c r="F1245" t="s">
        <v>25</v>
      </c>
      <c r="G1245">
        <v>35</v>
      </c>
    </row>
    <row r="1246" spans="1:7" x14ac:dyDescent="0.3">
      <c r="A1246">
        <v>1245</v>
      </c>
      <c r="B1246">
        <v>849</v>
      </c>
      <c r="C1246" s="1">
        <v>45728</v>
      </c>
      <c r="D1246" t="s">
        <v>21</v>
      </c>
      <c r="E1246" t="s">
        <v>16</v>
      </c>
      <c r="F1246" t="s">
        <v>30</v>
      </c>
      <c r="G1246">
        <v>5</v>
      </c>
    </row>
    <row r="1247" spans="1:7" x14ac:dyDescent="0.3">
      <c r="A1247">
        <v>1246</v>
      </c>
      <c r="B1247">
        <v>850</v>
      </c>
      <c r="C1247" s="1">
        <v>45728</v>
      </c>
      <c r="D1247" t="s">
        <v>21</v>
      </c>
      <c r="E1247" t="s">
        <v>17</v>
      </c>
      <c r="F1247" t="s">
        <v>27</v>
      </c>
      <c r="G1247">
        <v>40</v>
      </c>
    </row>
    <row r="1248" spans="1:7" x14ac:dyDescent="0.3">
      <c r="A1248">
        <v>1247</v>
      </c>
      <c r="B1248">
        <v>850</v>
      </c>
      <c r="C1248" s="1">
        <v>45728</v>
      </c>
      <c r="D1248" t="s">
        <v>21</v>
      </c>
      <c r="E1248" t="s">
        <v>17</v>
      </c>
      <c r="F1248" t="s">
        <v>27</v>
      </c>
      <c r="G1248">
        <v>67</v>
      </c>
    </row>
    <row r="1249" spans="1:7" x14ac:dyDescent="0.3">
      <c r="A1249">
        <v>1248</v>
      </c>
      <c r="B1249">
        <v>851</v>
      </c>
      <c r="C1249" s="1">
        <v>45728</v>
      </c>
      <c r="D1249" t="s">
        <v>21</v>
      </c>
      <c r="E1249" t="s">
        <v>18</v>
      </c>
      <c r="F1249" t="s">
        <v>29</v>
      </c>
      <c r="G1249">
        <v>53</v>
      </c>
    </row>
    <row r="1250" spans="1:7" x14ac:dyDescent="0.3">
      <c r="A1250">
        <v>1249</v>
      </c>
      <c r="B1250">
        <v>851</v>
      </c>
      <c r="C1250" s="1">
        <v>45728</v>
      </c>
      <c r="D1250" t="s">
        <v>21</v>
      </c>
      <c r="E1250" t="s">
        <v>18</v>
      </c>
      <c r="F1250" t="s">
        <v>27</v>
      </c>
      <c r="G1250">
        <v>5</v>
      </c>
    </row>
    <row r="1251" spans="1:7" x14ac:dyDescent="0.3">
      <c r="A1251">
        <v>1250</v>
      </c>
      <c r="B1251">
        <v>852</v>
      </c>
      <c r="C1251" s="1">
        <v>45728</v>
      </c>
      <c r="D1251" t="s">
        <v>21</v>
      </c>
      <c r="E1251" t="s">
        <v>19</v>
      </c>
      <c r="F1251" t="s">
        <v>30</v>
      </c>
      <c r="G1251">
        <v>7</v>
      </c>
    </row>
    <row r="1252" spans="1:7" x14ac:dyDescent="0.3">
      <c r="A1252">
        <v>1251</v>
      </c>
      <c r="B1252">
        <v>852</v>
      </c>
      <c r="C1252" s="1">
        <v>45728</v>
      </c>
      <c r="D1252" t="s">
        <v>21</v>
      </c>
      <c r="E1252" t="s">
        <v>19</v>
      </c>
      <c r="F1252" t="s">
        <v>27</v>
      </c>
      <c r="G1252">
        <v>9</v>
      </c>
    </row>
    <row r="1253" spans="1:7" x14ac:dyDescent="0.3">
      <c r="A1253">
        <v>1252</v>
      </c>
      <c r="B1253">
        <v>853</v>
      </c>
      <c r="C1253" s="1">
        <v>45729</v>
      </c>
      <c r="D1253" t="s">
        <v>15</v>
      </c>
      <c r="E1253" t="s">
        <v>16</v>
      </c>
      <c r="F1253" t="s">
        <v>26</v>
      </c>
      <c r="G1253">
        <v>9</v>
      </c>
    </row>
    <row r="1254" spans="1:7" x14ac:dyDescent="0.3">
      <c r="A1254">
        <v>1253</v>
      </c>
      <c r="B1254">
        <v>853</v>
      </c>
      <c r="C1254" s="1">
        <v>45729</v>
      </c>
      <c r="D1254" t="s">
        <v>15</v>
      </c>
      <c r="E1254" t="s">
        <v>16</v>
      </c>
      <c r="F1254" t="s">
        <v>25</v>
      </c>
      <c r="G1254">
        <v>121</v>
      </c>
    </row>
    <row r="1255" spans="1:7" x14ac:dyDescent="0.3">
      <c r="A1255">
        <v>1254</v>
      </c>
      <c r="B1255">
        <v>854</v>
      </c>
      <c r="C1255" s="1">
        <v>45729</v>
      </c>
      <c r="D1255" t="s">
        <v>15</v>
      </c>
      <c r="E1255" t="s">
        <v>17</v>
      </c>
      <c r="F1255" t="s">
        <v>26</v>
      </c>
      <c r="G1255">
        <v>21</v>
      </c>
    </row>
    <row r="1256" spans="1:7" x14ac:dyDescent="0.3">
      <c r="A1256">
        <v>1255</v>
      </c>
      <c r="B1256">
        <v>856</v>
      </c>
      <c r="C1256" s="1">
        <v>45729</v>
      </c>
      <c r="D1256" t="s">
        <v>15</v>
      </c>
      <c r="E1256" t="s">
        <v>19</v>
      </c>
      <c r="F1256" t="s">
        <v>25</v>
      </c>
      <c r="G1256">
        <v>5</v>
      </c>
    </row>
    <row r="1257" spans="1:7" x14ac:dyDescent="0.3">
      <c r="A1257">
        <v>1256</v>
      </c>
      <c r="B1257">
        <v>857</v>
      </c>
      <c r="C1257" s="1">
        <v>45729</v>
      </c>
      <c r="D1257" t="s">
        <v>20</v>
      </c>
      <c r="E1257" t="s">
        <v>16</v>
      </c>
      <c r="F1257" t="s">
        <v>26</v>
      </c>
      <c r="G1257">
        <v>5</v>
      </c>
    </row>
    <row r="1258" spans="1:7" x14ac:dyDescent="0.3">
      <c r="A1258">
        <v>1257</v>
      </c>
      <c r="B1258">
        <v>858</v>
      </c>
      <c r="C1258" s="1">
        <v>45729</v>
      </c>
      <c r="D1258" t="s">
        <v>20</v>
      </c>
      <c r="E1258" t="s">
        <v>17</v>
      </c>
      <c r="F1258" t="s">
        <v>26</v>
      </c>
      <c r="G1258">
        <v>31</v>
      </c>
    </row>
    <row r="1259" spans="1:7" x14ac:dyDescent="0.3">
      <c r="A1259">
        <v>1258</v>
      </c>
      <c r="B1259">
        <v>860</v>
      </c>
      <c r="C1259" s="1">
        <v>45729</v>
      </c>
      <c r="D1259" t="s">
        <v>20</v>
      </c>
      <c r="E1259" t="s">
        <v>19</v>
      </c>
      <c r="F1259" t="s">
        <v>27</v>
      </c>
      <c r="G1259">
        <v>5</v>
      </c>
    </row>
    <row r="1260" spans="1:7" x14ac:dyDescent="0.3">
      <c r="A1260">
        <v>1259</v>
      </c>
      <c r="B1260">
        <v>860</v>
      </c>
      <c r="C1260" s="1">
        <v>45729</v>
      </c>
      <c r="D1260" t="s">
        <v>20</v>
      </c>
      <c r="E1260" t="s">
        <v>19</v>
      </c>
      <c r="F1260" t="s">
        <v>27</v>
      </c>
      <c r="G1260">
        <v>50</v>
      </c>
    </row>
    <row r="1261" spans="1:7" x14ac:dyDescent="0.3">
      <c r="A1261">
        <v>1260</v>
      </c>
      <c r="B1261">
        <v>861</v>
      </c>
      <c r="C1261" s="1">
        <v>45729</v>
      </c>
      <c r="D1261" t="s">
        <v>21</v>
      </c>
      <c r="E1261" t="s">
        <v>16</v>
      </c>
      <c r="F1261" t="s">
        <v>27</v>
      </c>
      <c r="G1261">
        <v>5</v>
      </c>
    </row>
    <row r="1262" spans="1:7" x14ac:dyDescent="0.3">
      <c r="A1262">
        <v>1261</v>
      </c>
      <c r="B1262">
        <v>861</v>
      </c>
      <c r="C1262" s="1">
        <v>45729</v>
      </c>
      <c r="D1262" t="s">
        <v>21</v>
      </c>
      <c r="E1262" t="s">
        <v>16</v>
      </c>
      <c r="F1262" t="s">
        <v>27</v>
      </c>
      <c r="G1262">
        <v>12</v>
      </c>
    </row>
    <row r="1263" spans="1:7" x14ac:dyDescent="0.3">
      <c r="A1263">
        <v>1262</v>
      </c>
      <c r="B1263">
        <v>861</v>
      </c>
      <c r="C1263" s="1">
        <v>45729</v>
      </c>
      <c r="D1263" t="s">
        <v>21</v>
      </c>
      <c r="E1263" t="s">
        <v>16</v>
      </c>
      <c r="F1263" t="s">
        <v>27</v>
      </c>
      <c r="G1263">
        <v>8</v>
      </c>
    </row>
    <row r="1264" spans="1:7" x14ac:dyDescent="0.3">
      <c r="A1264">
        <v>1263</v>
      </c>
      <c r="B1264">
        <v>862</v>
      </c>
      <c r="C1264" s="1">
        <v>45729</v>
      </c>
      <c r="D1264" t="s">
        <v>21</v>
      </c>
      <c r="E1264" t="s">
        <v>17</v>
      </c>
      <c r="F1264" t="s">
        <v>28</v>
      </c>
      <c r="G1264">
        <v>145</v>
      </c>
    </row>
    <row r="1265" spans="1:7" x14ac:dyDescent="0.3">
      <c r="A1265">
        <v>1264</v>
      </c>
      <c r="B1265">
        <v>862</v>
      </c>
      <c r="C1265" s="1">
        <v>45729</v>
      </c>
      <c r="D1265" t="s">
        <v>21</v>
      </c>
      <c r="E1265" t="s">
        <v>17</v>
      </c>
      <c r="F1265" t="s">
        <v>25</v>
      </c>
      <c r="G1265">
        <v>5</v>
      </c>
    </row>
    <row r="1266" spans="1:7" x14ac:dyDescent="0.3">
      <c r="A1266">
        <v>1265</v>
      </c>
      <c r="B1266">
        <v>863</v>
      </c>
      <c r="C1266" s="1">
        <v>45729</v>
      </c>
      <c r="D1266" t="s">
        <v>21</v>
      </c>
      <c r="E1266" t="s">
        <v>18</v>
      </c>
      <c r="F1266" t="s">
        <v>25</v>
      </c>
      <c r="G1266">
        <v>27</v>
      </c>
    </row>
    <row r="1267" spans="1:7" x14ac:dyDescent="0.3">
      <c r="A1267">
        <v>1266</v>
      </c>
      <c r="B1267">
        <v>863</v>
      </c>
      <c r="C1267" s="1">
        <v>45729</v>
      </c>
      <c r="D1267" t="s">
        <v>21</v>
      </c>
      <c r="E1267" t="s">
        <v>18</v>
      </c>
      <c r="F1267" t="s">
        <v>26</v>
      </c>
      <c r="G1267">
        <v>24</v>
      </c>
    </row>
    <row r="1268" spans="1:7" x14ac:dyDescent="0.3">
      <c r="A1268">
        <v>1267</v>
      </c>
      <c r="B1268">
        <v>863</v>
      </c>
      <c r="C1268" s="1">
        <v>45729</v>
      </c>
      <c r="D1268" t="s">
        <v>21</v>
      </c>
      <c r="E1268" t="s">
        <v>18</v>
      </c>
      <c r="F1268" t="s">
        <v>26</v>
      </c>
      <c r="G1268">
        <v>9</v>
      </c>
    </row>
    <row r="1269" spans="1:7" x14ac:dyDescent="0.3">
      <c r="A1269">
        <v>1268</v>
      </c>
      <c r="B1269">
        <v>863</v>
      </c>
      <c r="C1269" s="1">
        <v>45729</v>
      </c>
      <c r="D1269" t="s">
        <v>21</v>
      </c>
      <c r="E1269" t="s">
        <v>18</v>
      </c>
      <c r="F1269" t="s">
        <v>27</v>
      </c>
      <c r="G1269">
        <v>5</v>
      </c>
    </row>
    <row r="1270" spans="1:7" x14ac:dyDescent="0.3">
      <c r="A1270">
        <v>1269</v>
      </c>
      <c r="B1270">
        <v>864</v>
      </c>
      <c r="C1270" s="1">
        <v>45729</v>
      </c>
      <c r="D1270" t="s">
        <v>21</v>
      </c>
      <c r="E1270" t="s">
        <v>19</v>
      </c>
      <c r="F1270" t="s">
        <v>27</v>
      </c>
      <c r="G1270">
        <v>7</v>
      </c>
    </row>
    <row r="1271" spans="1:7" x14ac:dyDescent="0.3">
      <c r="A1271">
        <v>1270</v>
      </c>
      <c r="B1271">
        <v>864</v>
      </c>
      <c r="C1271" s="1">
        <v>45729</v>
      </c>
      <c r="D1271" t="s">
        <v>21</v>
      </c>
      <c r="E1271" t="s">
        <v>19</v>
      </c>
      <c r="F1271" t="s">
        <v>27</v>
      </c>
      <c r="G1271">
        <v>38</v>
      </c>
    </row>
    <row r="1272" spans="1:7" x14ac:dyDescent="0.3">
      <c r="A1272">
        <v>1271</v>
      </c>
      <c r="B1272">
        <v>866</v>
      </c>
      <c r="C1272" s="1">
        <v>45730</v>
      </c>
      <c r="D1272" t="s">
        <v>15</v>
      </c>
      <c r="E1272" t="s">
        <v>17</v>
      </c>
      <c r="F1272" t="s">
        <v>27</v>
      </c>
      <c r="G1272">
        <v>56</v>
      </c>
    </row>
    <row r="1273" spans="1:7" x14ac:dyDescent="0.3">
      <c r="A1273">
        <v>1272</v>
      </c>
      <c r="B1273">
        <v>866</v>
      </c>
      <c r="C1273" s="1">
        <v>45730</v>
      </c>
      <c r="D1273" t="s">
        <v>15</v>
      </c>
      <c r="E1273" t="s">
        <v>17</v>
      </c>
      <c r="F1273" t="s">
        <v>25</v>
      </c>
      <c r="G1273">
        <v>19</v>
      </c>
    </row>
    <row r="1274" spans="1:7" x14ac:dyDescent="0.3">
      <c r="A1274">
        <v>1273</v>
      </c>
      <c r="B1274">
        <v>868</v>
      </c>
      <c r="C1274" s="1">
        <v>45730</v>
      </c>
      <c r="D1274" t="s">
        <v>15</v>
      </c>
      <c r="E1274" t="s">
        <v>19</v>
      </c>
      <c r="F1274" t="s">
        <v>25</v>
      </c>
      <c r="G1274">
        <v>13</v>
      </c>
    </row>
    <row r="1275" spans="1:7" x14ac:dyDescent="0.3">
      <c r="A1275">
        <v>1274</v>
      </c>
      <c r="B1275">
        <v>868</v>
      </c>
      <c r="C1275" s="1">
        <v>45730</v>
      </c>
      <c r="D1275" t="s">
        <v>15</v>
      </c>
      <c r="E1275" t="s">
        <v>19</v>
      </c>
      <c r="F1275" t="s">
        <v>27</v>
      </c>
      <c r="G1275">
        <v>5</v>
      </c>
    </row>
    <row r="1276" spans="1:7" x14ac:dyDescent="0.3">
      <c r="A1276">
        <v>1275</v>
      </c>
      <c r="B1276">
        <v>868</v>
      </c>
      <c r="C1276" s="1">
        <v>45730</v>
      </c>
      <c r="D1276" t="s">
        <v>15</v>
      </c>
      <c r="E1276" t="s">
        <v>19</v>
      </c>
      <c r="F1276" t="s">
        <v>28</v>
      </c>
      <c r="G1276">
        <v>87</v>
      </c>
    </row>
    <row r="1277" spans="1:7" x14ac:dyDescent="0.3">
      <c r="A1277">
        <v>1276</v>
      </c>
      <c r="B1277">
        <v>868</v>
      </c>
      <c r="C1277" s="1">
        <v>45730</v>
      </c>
      <c r="D1277" t="s">
        <v>15</v>
      </c>
      <c r="E1277" t="s">
        <v>19</v>
      </c>
      <c r="F1277" t="s">
        <v>25</v>
      </c>
      <c r="G1277">
        <v>40</v>
      </c>
    </row>
    <row r="1278" spans="1:7" x14ac:dyDescent="0.3">
      <c r="A1278">
        <v>1277</v>
      </c>
      <c r="B1278">
        <v>869</v>
      </c>
      <c r="C1278" s="1">
        <v>45730</v>
      </c>
      <c r="D1278" t="s">
        <v>20</v>
      </c>
      <c r="E1278" t="s">
        <v>16</v>
      </c>
      <c r="F1278" t="s">
        <v>27</v>
      </c>
      <c r="G1278">
        <v>5</v>
      </c>
    </row>
    <row r="1279" spans="1:7" x14ac:dyDescent="0.3">
      <c r="A1279">
        <v>1278</v>
      </c>
      <c r="B1279">
        <v>869</v>
      </c>
      <c r="C1279" s="1">
        <v>45730</v>
      </c>
      <c r="D1279" t="s">
        <v>20</v>
      </c>
      <c r="E1279" t="s">
        <v>16</v>
      </c>
      <c r="F1279" t="s">
        <v>25</v>
      </c>
      <c r="G1279">
        <v>33</v>
      </c>
    </row>
    <row r="1280" spans="1:7" x14ac:dyDescent="0.3">
      <c r="A1280">
        <v>1279</v>
      </c>
      <c r="B1280">
        <v>869</v>
      </c>
      <c r="C1280" s="1">
        <v>45730</v>
      </c>
      <c r="D1280" t="s">
        <v>20</v>
      </c>
      <c r="E1280" t="s">
        <v>16</v>
      </c>
      <c r="F1280" t="s">
        <v>25</v>
      </c>
      <c r="G1280">
        <v>5</v>
      </c>
    </row>
    <row r="1281" spans="1:7" x14ac:dyDescent="0.3">
      <c r="A1281">
        <v>1280</v>
      </c>
      <c r="B1281">
        <v>870</v>
      </c>
      <c r="C1281" s="1">
        <v>45730</v>
      </c>
      <c r="D1281" t="s">
        <v>20</v>
      </c>
      <c r="E1281" t="s">
        <v>17</v>
      </c>
      <c r="F1281" t="s">
        <v>25</v>
      </c>
      <c r="G1281">
        <v>36</v>
      </c>
    </row>
    <row r="1282" spans="1:7" x14ac:dyDescent="0.3">
      <c r="A1282">
        <v>1281</v>
      </c>
      <c r="B1282">
        <v>870</v>
      </c>
      <c r="C1282" s="1">
        <v>45730</v>
      </c>
      <c r="D1282" t="s">
        <v>20</v>
      </c>
      <c r="E1282" t="s">
        <v>17</v>
      </c>
      <c r="F1282" t="s">
        <v>30</v>
      </c>
      <c r="G1282">
        <v>86</v>
      </c>
    </row>
    <row r="1283" spans="1:7" x14ac:dyDescent="0.3">
      <c r="A1283">
        <v>1282</v>
      </c>
      <c r="B1283">
        <v>870</v>
      </c>
      <c r="C1283" s="1">
        <v>45730</v>
      </c>
      <c r="D1283" t="s">
        <v>20</v>
      </c>
      <c r="E1283" t="s">
        <v>17</v>
      </c>
      <c r="F1283" t="s">
        <v>27</v>
      </c>
      <c r="G1283">
        <v>7</v>
      </c>
    </row>
    <row r="1284" spans="1:7" x14ac:dyDescent="0.3">
      <c r="A1284">
        <v>1283</v>
      </c>
      <c r="B1284">
        <v>871</v>
      </c>
      <c r="C1284" s="1">
        <v>45730</v>
      </c>
      <c r="D1284" t="s">
        <v>20</v>
      </c>
      <c r="E1284" t="s">
        <v>18</v>
      </c>
      <c r="F1284" t="s">
        <v>25</v>
      </c>
      <c r="G1284">
        <v>13</v>
      </c>
    </row>
    <row r="1285" spans="1:7" x14ac:dyDescent="0.3">
      <c r="A1285">
        <v>1284</v>
      </c>
      <c r="B1285">
        <v>871</v>
      </c>
      <c r="C1285" s="1">
        <v>45730</v>
      </c>
      <c r="D1285" t="s">
        <v>20</v>
      </c>
      <c r="E1285" t="s">
        <v>18</v>
      </c>
      <c r="F1285" t="s">
        <v>26</v>
      </c>
      <c r="G1285">
        <v>89</v>
      </c>
    </row>
    <row r="1286" spans="1:7" x14ac:dyDescent="0.3">
      <c r="A1286">
        <v>1285</v>
      </c>
      <c r="B1286">
        <v>873</v>
      </c>
      <c r="C1286" s="1">
        <v>45730</v>
      </c>
      <c r="D1286" t="s">
        <v>21</v>
      </c>
      <c r="E1286" t="s">
        <v>16</v>
      </c>
      <c r="F1286" t="s">
        <v>29</v>
      </c>
      <c r="G1286">
        <v>18</v>
      </c>
    </row>
    <row r="1287" spans="1:7" x14ac:dyDescent="0.3">
      <c r="A1287">
        <v>1286</v>
      </c>
      <c r="B1287">
        <v>873</v>
      </c>
      <c r="C1287" s="1">
        <v>45730</v>
      </c>
      <c r="D1287" t="s">
        <v>21</v>
      </c>
      <c r="E1287" t="s">
        <v>16</v>
      </c>
      <c r="F1287" t="s">
        <v>25</v>
      </c>
      <c r="G1287">
        <v>33</v>
      </c>
    </row>
    <row r="1288" spans="1:7" x14ac:dyDescent="0.3">
      <c r="A1288">
        <v>1287</v>
      </c>
      <c r="B1288">
        <v>873</v>
      </c>
      <c r="C1288" s="1">
        <v>45730</v>
      </c>
      <c r="D1288" t="s">
        <v>21</v>
      </c>
      <c r="E1288" t="s">
        <v>16</v>
      </c>
      <c r="F1288" t="s">
        <v>25</v>
      </c>
      <c r="G1288">
        <v>40</v>
      </c>
    </row>
    <row r="1289" spans="1:7" x14ac:dyDescent="0.3">
      <c r="A1289">
        <v>1288</v>
      </c>
      <c r="B1289">
        <v>873</v>
      </c>
      <c r="C1289" s="1">
        <v>45730</v>
      </c>
      <c r="D1289" t="s">
        <v>21</v>
      </c>
      <c r="E1289" t="s">
        <v>16</v>
      </c>
      <c r="F1289" t="s">
        <v>27</v>
      </c>
      <c r="G1289">
        <v>19</v>
      </c>
    </row>
    <row r="1290" spans="1:7" x14ac:dyDescent="0.3">
      <c r="A1290">
        <v>1289</v>
      </c>
      <c r="B1290">
        <v>873</v>
      </c>
      <c r="C1290" s="1">
        <v>45730</v>
      </c>
      <c r="D1290" t="s">
        <v>21</v>
      </c>
      <c r="E1290" t="s">
        <v>16</v>
      </c>
      <c r="F1290" t="s">
        <v>25</v>
      </c>
      <c r="G1290">
        <v>9</v>
      </c>
    </row>
    <row r="1291" spans="1:7" x14ac:dyDescent="0.3">
      <c r="A1291">
        <v>1290</v>
      </c>
      <c r="B1291">
        <v>873</v>
      </c>
      <c r="C1291" s="1">
        <v>45730</v>
      </c>
      <c r="D1291" t="s">
        <v>21</v>
      </c>
      <c r="E1291" t="s">
        <v>16</v>
      </c>
      <c r="F1291" t="s">
        <v>27</v>
      </c>
      <c r="G1291">
        <v>60</v>
      </c>
    </row>
    <row r="1292" spans="1:7" x14ac:dyDescent="0.3">
      <c r="A1292">
        <v>1291</v>
      </c>
      <c r="B1292">
        <v>874</v>
      </c>
      <c r="C1292" s="1">
        <v>45730</v>
      </c>
      <c r="D1292" t="s">
        <v>21</v>
      </c>
      <c r="E1292" t="s">
        <v>17</v>
      </c>
      <c r="F1292" t="s">
        <v>27</v>
      </c>
      <c r="G1292">
        <v>5</v>
      </c>
    </row>
    <row r="1293" spans="1:7" x14ac:dyDescent="0.3">
      <c r="A1293">
        <v>1292</v>
      </c>
      <c r="B1293">
        <v>874</v>
      </c>
      <c r="C1293" s="1">
        <v>45730</v>
      </c>
      <c r="D1293" t="s">
        <v>21</v>
      </c>
      <c r="E1293" t="s">
        <v>17</v>
      </c>
      <c r="F1293" t="s">
        <v>28</v>
      </c>
      <c r="G1293">
        <v>8</v>
      </c>
    </row>
    <row r="1294" spans="1:7" x14ac:dyDescent="0.3">
      <c r="A1294">
        <v>1293</v>
      </c>
      <c r="B1294">
        <v>878</v>
      </c>
      <c r="C1294" s="1">
        <v>45731</v>
      </c>
      <c r="D1294" t="s">
        <v>15</v>
      </c>
      <c r="E1294" t="s">
        <v>17</v>
      </c>
      <c r="F1294" t="s">
        <v>30</v>
      </c>
      <c r="G1294">
        <v>28</v>
      </c>
    </row>
    <row r="1295" spans="1:7" x14ac:dyDescent="0.3">
      <c r="A1295">
        <v>1294</v>
      </c>
      <c r="B1295">
        <v>878</v>
      </c>
      <c r="C1295" s="1">
        <v>45731</v>
      </c>
      <c r="D1295" t="s">
        <v>15</v>
      </c>
      <c r="E1295" t="s">
        <v>17</v>
      </c>
      <c r="F1295" t="s">
        <v>30</v>
      </c>
      <c r="G1295">
        <v>10</v>
      </c>
    </row>
    <row r="1296" spans="1:7" x14ac:dyDescent="0.3">
      <c r="A1296">
        <v>1295</v>
      </c>
      <c r="B1296">
        <v>878</v>
      </c>
      <c r="C1296" s="1">
        <v>45731</v>
      </c>
      <c r="D1296" t="s">
        <v>15</v>
      </c>
      <c r="E1296" t="s">
        <v>17</v>
      </c>
      <c r="F1296" t="s">
        <v>25</v>
      </c>
      <c r="G1296">
        <v>83</v>
      </c>
    </row>
    <row r="1297" spans="1:7" x14ac:dyDescent="0.3">
      <c r="A1297">
        <v>1296</v>
      </c>
      <c r="B1297">
        <v>880</v>
      </c>
      <c r="C1297" s="1">
        <v>45731</v>
      </c>
      <c r="D1297" t="s">
        <v>15</v>
      </c>
      <c r="E1297" t="s">
        <v>19</v>
      </c>
      <c r="F1297" t="s">
        <v>25</v>
      </c>
      <c r="G1297">
        <v>294</v>
      </c>
    </row>
    <row r="1298" spans="1:7" x14ac:dyDescent="0.3">
      <c r="A1298">
        <v>1297</v>
      </c>
      <c r="B1298">
        <v>881</v>
      </c>
      <c r="C1298" s="1">
        <v>45731</v>
      </c>
      <c r="D1298" t="s">
        <v>20</v>
      </c>
      <c r="E1298" t="s">
        <v>16</v>
      </c>
      <c r="F1298" t="s">
        <v>29</v>
      </c>
      <c r="G1298">
        <v>65</v>
      </c>
    </row>
    <row r="1299" spans="1:7" x14ac:dyDescent="0.3">
      <c r="A1299">
        <v>1298</v>
      </c>
      <c r="B1299">
        <v>881</v>
      </c>
      <c r="C1299" s="1">
        <v>45731</v>
      </c>
      <c r="D1299" t="s">
        <v>20</v>
      </c>
      <c r="E1299" t="s">
        <v>16</v>
      </c>
      <c r="F1299" t="s">
        <v>25</v>
      </c>
      <c r="G1299">
        <v>5</v>
      </c>
    </row>
    <row r="1300" spans="1:7" x14ac:dyDescent="0.3">
      <c r="A1300">
        <v>1299</v>
      </c>
      <c r="B1300">
        <v>882</v>
      </c>
      <c r="C1300" s="1">
        <v>45731</v>
      </c>
      <c r="D1300" t="s">
        <v>20</v>
      </c>
      <c r="E1300" t="s">
        <v>17</v>
      </c>
      <c r="F1300" t="s">
        <v>30</v>
      </c>
      <c r="G1300">
        <v>51</v>
      </c>
    </row>
    <row r="1301" spans="1:7" x14ac:dyDescent="0.3">
      <c r="A1301">
        <v>1300</v>
      </c>
      <c r="B1301">
        <v>882</v>
      </c>
      <c r="C1301" s="1">
        <v>45731</v>
      </c>
      <c r="D1301" t="s">
        <v>20</v>
      </c>
      <c r="E1301" t="s">
        <v>17</v>
      </c>
      <c r="F1301" t="s">
        <v>25</v>
      </c>
      <c r="G1301">
        <v>30</v>
      </c>
    </row>
    <row r="1302" spans="1:7" x14ac:dyDescent="0.3">
      <c r="A1302">
        <v>1301</v>
      </c>
      <c r="B1302">
        <v>882</v>
      </c>
      <c r="C1302" s="1">
        <v>45731</v>
      </c>
      <c r="D1302" t="s">
        <v>20</v>
      </c>
      <c r="E1302" t="s">
        <v>17</v>
      </c>
      <c r="F1302" t="s">
        <v>25</v>
      </c>
      <c r="G1302">
        <v>36</v>
      </c>
    </row>
    <row r="1303" spans="1:7" x14ac:dyDescent="0.3">
      <c r="A1303">
        <v>1302</v>
      </c>
      <c r="B1303">
        <v>883</v>
      </c>
      <c r="C1303" s="1">
        <v>45731</v>
      </c>
      <c r="D1303" t="s">
        <v>20</v>
      </c>
      <c r="E1303" t="s">
        <v>18</v>
      </c>
      <c r="F1303" t="s">
        <v>27</v>
      </c>
      <c r="G1303">
        <v>17</v>
      </c>
    </row>
    <row r="1304" spans="1:7" x14ac:dyDescent="0.3">
      <c r="A1304">
        <v>1303</v>
      </c>
      <c r="B1304">
        <v>884</v>
      </c>
      <c r="C1304" s="1">
        <v>45731</v>
      </c>
      <c r="D1304" t="s">
        <v>20</v>
      </c>
      <c r="E1304" t="s">
        <v>19</v>
      </c>
      <c r="F1304" t="s">
        <v>30</v>
      </c>
      <c r="G1304">
        <v>46</v>
      </c>
    </row>
    <row r="1305" spans="1:7" x14ac:dyDescent="0.3">
      <c r="A1305">
        <v>1304</v>
      </c>
      <c r="B1305">
        <v>884</v>
      </c>
      <c r="C1305" s="1">
        <v>45731</v>
      </c>
      <c r="D1305" t="s">
        <v>20</v>
      </c>
      <c r="E1305" t="s">
        <v>19</v>
      </c>
      <c r="F1305" t="s">
        <v>25</v>
      </c>
      <c r="G1305">
        <v>17</v>
      </c>
    </row>
    <row r="1306" spans="1:7" x14ac:dyDescent="0.3">
      <c r="A1306">
        <v>1305</v>
      </c>
      <c r="B1306">
        <v>886</v>
      </c>
      <c r="C1306" s="1">
        <v>45731</v>
      </c>
      <c r="D1306" t="s">
        <v>21</v>
      </c>
      <c r="E1306" t="s">
        <v>17</v>
      </c>
      <c r="F1306" t="s">
        <v>27</v>
      </c>
      <c r="G1306">
        <v>16</v>
      </c>
    </row>
    <row r="1307" spans="1:7" x14ac:dyDescent="0.3">
      <c r="A1307">
        <v>1306</v>
      </c>
      <c r="B1307">
        <v>887</v>
      </c>
      <c r="C1307" s="1">
        <v>45731</v>
      </c>
      <c r="D1307" t="s">
        <v>21</v>
      </c>
      <c r="E1307" t="s">
        <v>18</v>
      </c>
      <c r="F1307" t="s">
        <v>26</v>
      </c>
      <c r="G1307">
        <v>75</v>
      </c>
    </row>
    <row r="1308" spans="1:7" x14ac:dyDescent="0.3">
      <c r="A1308">
        <v>1307</v>
      </c>
      <c r="B1308">
        <v>888</v>
      </c>
      <c r="C1308" s="1">
        <v>45731</v>
      </c>
      <c r="D1308" t="s">
        <v>21</v>
      </c>
      <c r="E1308" t="s">
        <v>19</v>
      </c>
      <c r="F1308" t="s">
        <v>26</v>
      </c>
      <c r="G1308">
        <v>15</v>
      </c>
    </row>
    <row r="1309" spans="1:7" x14ac:dyDescent="0.3">
      <c r="A1309">
        <v>1308</v>
      </c>
      <c r="B1309">
        <v>888</v>
      </c>
      <c r="C1309" s="1">
        <v>45731</v>
      </c>
      <c r="D1309" t="s">
        <v>21</v>
      </c>
      <c r="E1309" t="s">
        <v>19</v>
      </c>
      <c r="F1309" t="s">
        <v>27</v>
      </c>
      <c r="G1309">
        <v>5</v>
      </c>
    </row>
    <row r="1310" spans="1:7" x14ac:dyDescent="0.3">
      <c r="A1310">
        <v>1309</v>
      </c>
      <c r="B1310">
        <v>888</v>
      </c>
      <c r="C1310" s="1">
        <v>45731</v>
      </c>
      <c r="D1310" t="s">
        <v>21</v>
      </c>
      <c r="E1310" t="s">
        <v>19</v>
      </c>
      <c r="F1310" t="s">
        <v>25</v>
      </c>
      <c r="G1310">
        <v>70</v>
      </c>
    </row>
    <row r="1311" spans="1:7" x14ac:dyDescent="0.3">
      <c r="A1311">
        <v>1310</v>
      </c>
      <c r="B1311">
        <v>888</v>
      </c>
      <c r="C1311" s="1">
        <v>45731</v>
      </c>
      <c r="D1311" t="s">
        <v>21</v>
      </c>
      <c r="E1311" t="s">
        <v>19</v>
      </c>
      <c r="F1311" t="s">
        <v>27</v>
      </c>
      <c r="G1311">
        <v>7</v>
      </c>
    </row>
    <row r="1312" spans="1:7" x14ac:dyDescent="0.3">
      <c r="A1312">
        <v>1311</v>
      </c>
      <c r="B1312">
        <v>889</v>
      </c>
      <c r="C1312" s="1">
        <v>45732</v>
      </c>
      <c r="D1312" t="s">
        <v>15</v>
      </c>
      <c r="E1312" t="s">
        <v>16</v>
      </c>
      <c r="F1312" t="s">
        <v>25</v>
      </c>
      <c r="G1312">
        <v>13</v>
      </c>
    </row>
    <row r="1313" spans="1:7" x14ac:dyDescent="0.3">
      <c r="A1313">
        <v>1312</v>
      </c>
      <c r="B1313">
        <v>890</v>
      </c>
      <c r="C1313" s="1">
        <v>45732</v>
      </c>
      <c r="D1313" t="s">
        <v>15</v>
      </c>
      <c r="E1313" t="s">
        <v>17</v>
      </c>
      <c r="F1313" t="s">
        <v>30</v>
      </c>
      <c r="G1313">
        <v>11</v>
      </c>
    </row>
    <row r="1314" spans="1:7" x14ac:dyDescent="0.3">
      <c r="A1314">
        <v>1313</v>
      </c>
      <c r="B1314">
        <v>890</v>
      </c>
      <c r="C1314" s="1">
        <v>45732</v>
      </c>
      <c r="D1314" t="s">
        <v>15</v>
      </c>
      <c r="E1314" t="s">
        <v>17</v>
      </c>
      <c r="F1314" t="s">
        <v>25</v>
      </c>
      <c r="G1314">
        <v>6</v>
      </c>
    </row>
    <row r="1315" spans="1:7" x14ac:dyDescent="0.3">
      <c r="A1315">
        <v>1314</v>
      </c>
      <c r="B1315">
        <v>891</v>
      </c>
      <c r="C1315" s="1">
        <v>45732</v>
      </c>
      <c r="D1315" t="s">
        <v>15</v>
      </c>
      <c r="E1315" t="s">
        <v>18</v>
      </c>
      <c r="F1315" t="s">
        <v>25</v>
      </c>
      <c r="G1315">
        <v>5</v>
      </c>
    </row>
    <row r="1316" spans="1:7" x14ac:dyDescent="0.3">
      <c r="A1316">
        <v>1315</v>
      </c>
      <c r="B1316">
        <v>891</v>
      </c>
      <c r="C1316" s="1">
        <v>45732</v>
      </c>
      <c r="D1316" t="s">
        <v>15</v>
      </c>
      <c r="E1316" t="s">
        <v>18</v>
      </c>
      <c r="F1316" t="s">
        <v>25</v>
      </c>
      <c r="G1316">
        <v>58</v>
      </c>
    </row>
    <row r="1317" spans="1:7" x14ac:dyDescent="0.3">
      <c r="A1317">
        <v>1316</v>
      </c>
      <c r="B1317">
        <v>892</v>
      </c>
      <c r="C1317" s="1">
        <v>45732</v>
      </c>
      <c r="D1317" t="s">
        <v>15</v>
      </c>
      <c r="E1317" t="s">
        <v>19</v>
      </c>
      <c r="F1317" t="s">
        <v>27</v>
      </c>
      <c r="G1317">
        <v>13</v>
      </c>
    </row>
    <row r="1318" spans="1:7" x14ac:dyDescent="0.3">
      <c r="A1318">
        <v>1317</v>
      </c>
      <c r="B1318">
        <v>892</v>
      </c>
      <c r="C1318" s="1">
        <v>45732</v>
      </c>
      <c r="D1318" t="s">
        <v>15</v>
      </c>
      <c r="E1318" t="s">
        <v>19</v>
      </c>
      <c r="F1318" t="s">
        <v>27</v>
      </c>
      <c r="G1318">
        <v>34</v>
      </c>
    </row>
    <row r="1319" spans="1:7" x14ac:dyDescent="0.3">
      <c r="A1319">
        <v>1318</v>
      </c>
      <c r="B1319">
        <v>893</v>
      </c>
      <c r="C1319" s="1">
        <v>45732</v>
      </c>
      <c r="D1319" t="s">
        <v>20</v>
      </c>
      <c r="E1319" t="s">
        <v>16</v>
      </c>
      <c r="F1319" t="s">
        <v>25</v>
      </c>
      <c r="G1319">
        <v>49</v>
      </c>
    </row>
    <row r="1320" spans="1:7" x14ac:dyDescent="0.3">
      <c r="A1320">
        <v>1319</v>
      </c>
      <c r="B1320">
        <v>893</v>
      </c>
      <c r="C1320" s="1">
        <v>45732</v>
      </c>
      <c r="D1320" t="s">
        <v>20</v>
      </c>
      <c r="E1320" t="s">
        <v>16</v>
      </c>
      <c r="F1320" t="s">
        <v>27</v>
      </c>
      <c r="G1320">
        <v>20</v>
      </c>
    </row>
    <row r="1321" spans="1:7" x14ac:dyDescent="0.3">
      <c r="A1321">
        <v>1320</v>
      </c>
      <c r="B1321">
        <v>893</v>
      </c>
      <c r="C1321" s="1">
        <v>45732</v>
      </c>
      <c r="D1321" t="s">
        <v>20</v>
      </c>
      <c r="E1321" t="s">
        <v>16</v>
      </c>
      <c r="F1321" t="s">
        <v>25</v>
      </c>
      <c r="G1321">
        <v>106</v>
      </c>
    </row>
    <row r="1322" spans="1:7" x14ac:dyDescent="0.3">
      <c r="A1322">
        <v>1321</v>
      </c>
      <c r="B1322">
        <v>894</v>
      </c>
      <c r="C1322" s="1">
        <v>45732</v>
      </c>
      <c r="D1322" t="s">
        <v>20</v>
      </c>
      <c r="E1322" t="s">
        <v>17</v>
      </c>
      <c r="F1322" t="s">
        <v>29</v>
      </c>
      <c r="G1322">
        <v>7</v>
      </c>
    </row>
    <row r="1323" spans="1:7" x14ac:dyDescent="0.3">
      <c r="A1323">
        <v>1322</v>
      </c>
      <c r="B1323">
        <v>894</v>
      </c>
      <c r="C1323" s="1">
        <v>45732</v>
      </c>
      <c r="D1323" t="s">
        <v>20</v>
      </c>
      <c r="E1323" t="s">
        <v>17</v>
      </c>
      <c r="F1323" t="s">
        <v>27</v>
      </c>
      <c r="G1323">
        <v>45</v>
      </c>
    </row>
    <row r="1324" spans="1:7" x14ac:dyDescent="0.3">
      <c r="A1324">
        <v>1323</v>
      </c>
      <c r="B1324">
        <v>894</v>
      </c>
      <c r="C1324" s="1">
        <v>45732</v>
      </c>
      <c r="D1324" t="s">
        <v>20</v>
      </c>
      <c r="E1324" t="s">
        <v>17</v>
      </c>
      <c r="F1324" t="s">
        <v>29</v>
      </c>
      <c r="G1324">
        <v>28</v>
      </c>
    </row>
    <row r="1325" spans="1:7" x14ac:dyDescent="0.3">
      <c r="A1325">
        <v>1324</v>
      </c>
      <c r="B1325">
        <v>895</v>
      </c>
      <c r="C1325" s="1">
        <v>45732</v>
      </c>
      <c r="D1325" t="s">
        <v>20</v>
      </c>
      <c r="E1325" t="s">
        <v>18</v>
      </c>
      <c r="F1325" t="s">
        <v>25</v>
      </c>
      <c r="G1325">
        <v>24</v>
      </c>
    </row>
    <row r="1326" spans="1:7" x14ac:dyDescent="0.3">
      <c r="A1326">
        <v>1325</v>
      </c>
      <c r="B1326">
        <v>895</v>
      </c>
      <c r="C1326" s="1">
        <v>45732</v>
      </c>
      <c r="D1326" t="s">
        <v>20</v>
      </c>
      <c r="E1326" t="s">
        <v>18</v>
      </c>
      <c r="F1326" t="s">
        <v>25</v>
      </c>
      <c r="G1326">
        <v>17</v>
      </c>
    </row>
    <row r="1327" spans="1:7" x14ac:dyDescent="0.3">
      <c r="A1327">
        <v>1326</v>
      </c>
      <c r="B1327">
        <v>896</v>
      </c>
      <c r="C1327" s="1">
        <v>45732</v>
      </c>
      <c r="D1327" t="s">
        <v>20</v>
      </c>
      <c r="E1327" t="s">
        <v>19</v>
      </c>
      <c r="F1327" t="s">
        <v>26</v>
      </c>
      <c r="G1327">
        <v>67</v>
      </c>
    </row>
    <row r="1328" spans="1:7" x14ac:dyDescent="0.3">
      <c r="A1328">
        <v>1327</v>
      </c>
      <c r="B1328">
        <v>896</v>
      </c>
      <c r="C1328" s="1">
        <v>45732</v>
      </c>
      <c r="D1328" t="s">
        <v>20</v>
      </c>
      <c r="E1328" t="s">
        <v>19</v>
      </c>
      <c r="F1328" t="s">
        <v>30</v>
      </c>
      <c r="G1328">
        <v>6</v>
      </c>
    </row>
    <row r="1329" spans="1:7" x14ac:dyDescent="0.3">
      <c r="A1329">
        <v>1328</v>
      </c>
      <c r="B1329">
        <v>898</v>
      </c>
      <c r="C1329" s="1">
        <v>45732</v>
      </c>
      <c r="D1329" t="s">
        <v>21</v>
      </c>
      <c r="E1329" t="s">
        <v>17</v>
      </c>
      <c r="F1329" t="s">
        <v>25</v>
      </c>
      <c r="G1329">
        <v>88</v>
      </c>
    </row>
    <row r="1330" spans="1:7" x14ac:dyDescent="0.3">
      <c r="A1330">
        <v>1329</v>
      </c>
      <c r="B1330">
        <v>899</v>
      </c>
      <c r="C1330" s="1">
        <v>45732</v>
      </c>
      <c r="D1330" t="s">
        <v>21</v>
      </c>
      <c r="E1330" t="s">
        <v>18</v>
      </c>
      <c r="F1330" t="s">
        <v>25</v>
      </c>
      <c r="G1330">
        <v>89</v>
      </c>
    </row>
    <row r="1331" spans="1:7" x14ac:dyDescent="0.3">
      <c r="A1331">
        <v>1330</v>
      </c>
      <c r="B1331">
        <v>899</v>
      </c>
      <c r="C1331" s="1">
        <v>45732</v>
      </c>
      <c r="D1331" t="s">
        <v>21</v>
      </c>
      <c r="E1331" t="s">
        <v>18</v>
      </c>
      <c r="F1331" t="s">
        <v>25</v>
      </c>
      <c r="G1331">
        <v>53</v>
      </c>
    </row>
    <row r="1332" spans="1:7" x14ac:dyDescent="0.3">
      <c r="A1332">
        <v>1331</v>
      </c>
      <c r="B1332">
        <v>900</v>
      </c>
      <c r="C1332" s="1">
        <v>45732</v>
      </c>
      <c r="D1332" t="s">
        <v>21</v>
      </c>
      <c r="E1332" t="s">
        <v>19</v>
      </c>
      <c r="F1332" t="s">
        <v>25</v>
      </c>
      <c r="G1332">
        <v>70</v>
      </c>
    </row>
    <row r="1333" spans="1:7" x14ac:dyDescent="0.3">
      <c r="A1333">
        <v>1332</v>
      </c>
      <c r="B1333">
        <v>901</v>
      </c>
      <c r="C1333" s="1">
        <v>45733</v>
      </c>
      <c r="D1333" t="s">
        <v>15</v>
      </c>
      <c r="E1333" t="s">
        <v>16</v>
      </c>
      <c r="F1333" t="s">
        <v>27</v>
      </c>
      <c r="G1333">
        <v>33</v>
      </c>
    </row>
    <row r="1334" spans="1:7" x14ac:dyDescent="0.3">
      <c r="A1334">
        <v>1333</v>
      </c>
      <c r="B1334">
        <v>901</v>
      </c>
      <c r="C1334" s="1">
        <v>45733</v>
      </c>
      <c r="D1334" t="s">
        <v>15</v>
      </c>
      <c r="E1334" t="s">
        <v>16</v>
      </c>
      <c r="F1334" t="s">
        <v>25</v>
      </c>
      <c r="G1334">
        <v>38</v>
      </c>
    </row>
    <row r="1335" spans="1:7" x14ac:dyDescent="0.3">
      <c r="A1335">
        <v>1334</v>
      </c>
      <c r="B1335">
        <v>901</v>
      </c>
      <c r="C1335" s="1">
        <v>45733</v>
      </c>
      <c r="D1335" t="s">
        <v>15</v>
      </c>
      <c r="E1335" t="s">
        <v>16</v>
      </c>
      <c r="F1335" t="s">
        <v>26</v>
      </c>
      <c r="G1335">
        <v>14</v>
      </c>
    </row>
    <row r="1336" spans="1:7" x14ac:dyDescent="0.3">
      <c r="A1336">
        <v>1335</v>
      </c>
      <c r="B1336">
        <v>902</v>
      </c>
      <c r="C1336" s="1">
        <v>45733</v>
      </c>
      <c r="D1336" t="s">
        <v>15</v>
      </c>
      <c r="E1336" t="s">
        <v>17</v>
      </c>
      <c r="F1336" t="s">
        <v>25</v>
      </c>
      <c r="G1336">
        <v>55</v>
      </c>
    </row>
    <row r="1337" spans="1:7" x14ac:dyDescent="0.3">
      <c r="A1337">
        <v>1336</v>
      </c>
      <c r="B1337">
        <v>902</v>
      </c>
      <c r="C1337" s="1">
        <v>45733</v>
      </c>
      <c r="D1337" t="s">
        <v>15</v>
      </c>
      <c r="E1337" t="s">
        <v>17</v>
      </c>
      <c r="F1337" t="s">
        <v>30</v>
      </c>
      <c r="G1337">
        <v>29</v>
      </c>
    </row>
    <row r="1338" spans="1:7" x14ac:dyDescent="0.3">
      <c r="A1338">
        <v>1337</v>
      </c>
      <c r="B1338">
        <v>902</v>
      </c>
      <c r="C1338" s="1">
        <v>45733</v>
      </c>
      <c r="D1338" t="s">
        <v>15</v>
      </c>
      <c r="E1338" t="s">
        <v>17</v>
      </c>
      <c r="F1338" t="s">
        <v>27</v>
      </c>
      <c r="G1338">
        <v>5</v>
      </c>
    </row>
    <row r="1339" spans="1:7" x14ac:dyDescent="0.3">
      <c r="A1339">
        <v>1338</v>
      </c>
      <c r="B1339">
        <v>902</v>
      </c>
      <c r="C1339" s="1">
        <v>45733</v>
      </c>
      <c r="D1339" t="s">
        <v>15</v>
      </c>
      <c r="E1339" t="s">
        <v>17</v>
      </c>
      <c r="F1339" t="s">
        <v>27</v>
      </c>
      <c r="G1339">
        <v>5</v>
      </c>
    </row>
    <row r="1340" spans="1:7" x14ac:dyDescent="0.3">
      <c r="A1340">
        <v>1339</v>
      </c>
      <c r="B1340">
        <v>902</v>
      </c>
      <c r="C1340" s="1">
        <v>45733</v>
      </c>
      <c r="D1340" t="s">
        <v>15</v>
      </c>
      <c r="E1340" t="s">
        <v>17</v>
      </c>
      <c r="F1340" t="s">
        <v>25</v>
      </c>
      <c r="G1340">
        <v>66</v>
      </c>
    </row>
    <row r="1341" spans="1:7" x14ac:dyDescent="0.3">
      <c r="A1341">
        <v>1340</v>
      </c>
      <c r="B1341">
        <v>903</v>
      </c>
      <c r="C1341" s="1">
        <v>45733</v>
      </c>
      <c r="D1341" t="s">
        <v>15</v>
      </c>
      <c r="E1341" t="s">
        <v>18</v>
      </c>
      <c r="F1341" t="s">
        <v>25</v>
      </c>
      <c r="G1341">
        <v>5</v>
      </c>
    </row>
    <row r="1342" spans="1:7" x14ac:dyDescent="0.3">
      <c r="A1342">
        <v>1341</v>
      </c>
      <c r="B1342">
        <v>903</v>
      </c>
      <c r="C1342" s="1">
        <v>45733</v>
      </c>
      <c r="D1342" t="s">
        <v>15</v>
      </c>
      <c r="E1342" t="s">
        <v>18</v>
      </c>
      <c r="F1342" t="s">
        <v>28</v>
      </c>
      <c r="G1342">
        <v>98</v>
      </c>
    </row>
    <row r="1343" spans="1:7" x14ac:dyDescent="0.3">
      <c r="A1343">
        <v>1342</v>
      </c>
      <c r="B1343">
        <v>904</v>
      </c>
      <c r="C1343" s="1">
        <v>45733</v>
      </c>
      <c r="D1343" t="s">
        <v>15</v>
      </c>
      <c r="E1343" t="s">
        <v>19</v>
      </c>
      <c r="F1343" t="s">
        <v>27</v>
      </c>
      <c r="G1343">
        <v>57</v>
      </c>
    </row>
    <row r="1344" spans="1:7" x14ac:dyDescent="0.3">
      <c r="A1344">
        <v>1343</v>
      </c>
      <c r="B1344">
        <v>904</v>
      </c>
      <c r="C1344" s="1">
        <v>45733</v>
      </c>
      <c r="D1344" t="s">
        <v>15</v>
      </c>
      <c r="E1344" t="s">
        <v>19</v>
      </c>
      <c r="F1344" t="s">
        <v>25</v>
      </c>
      <c r="G1344">
        <v>12</v>
      </c>
    </row>
    <row r="1345" spans="1:7" x14ac:dyDescent="0.3">
      <c r="A1345">
        <v>1344</v>
      </c>
      <c r="B1345">
        <v>906</v>
      </c>
      <c r="C1345" s="1">
        <v>45733</v>
      </c>
      <c r="D1345" t="s">
        <v>20</v>
      </c>
      <c r="E1345" t="s">
        <v>17</v>
      </c>
      <c r="F1345" t="s">
        <v>28</v>
      </c>
      <c r="G1345">
        <v>31</v>
      </c>
    </row>
    <row r="1346" spans="1:7" x14ac:dyDescent="0.3">
      <c r="A1346">
        <v>1345</v>
      </c>
      <c r="B1346">
        <v>906</v>
      </c>
      <c r="C1346" s="1">
        <v>45733</v>
      </c>
      <c r="D1346" t="s">
        <v>20</v>
      </c>
      <c r="E1346" t="s">
        <v>17</v>
      </c>
      <c r="F1346" t="s">
        <v>25</v>
      </c>
      <c r="G1346">
        <v>36</v>
      </c>
    </row>
    <row r="1347" spans="1:7" x14ac:dyDescent="0.3">
      <c r="A1347">
        <v>1346</v>
      </c>
      <c r="B1347">
        <v>906</v>
      </c>
      <c r="C1347" s="1">
        <v>45733</v>
      </c>
      <c r="D1347" t="s">
        <v>20</v>
      </c>
      <c r="E1347" t="s">
        <v>17</v>
      </c>
      <c r="F1347" t="s">
        <v>25</v>
      </c>
      <c r="G1347">
        <v>5</v>
      </c>
    </row>
    <row r="1348" spans="1:7" x14ac:dyDescent="0.3">
      <c r="A1348">
        <v>1347</v>
      </c>
      <c r="B1348">
        <v>907</v>
      </c>
      <c r="C1348" s="1">
        <v>45733</v>
      </c>
      <c r="D1348" t="s">
        <v>20</v>
      </c>
      <c r="E1348" t="s">
        <v>18</v>
      </c>
      <c r="F1348" t="s">
        <v>25</v>
      </c>
      <c r="G1348">
        <v>7</v>
      </c>
    </row>
    <row r="1349" spans="1:7" x14ac:dyDescent="0.3">
      <c r="A1349">
        <v>1348</v>
      </c>
      <c r="B1349">
        <v>907</v>
      </c>
      <c r="C1349" s="1">
        <v>45733</v>
      </c>
      <c r="D1349" t="s">
        <v>20</v>
      </c>
      <c r="E1349" t="s">
        <v>18</v>
      </c>
      <c r="F1349" t="s">
        <v>25</v>
      </c>
      <c r="G1349">
        <v>15</v>
      </c>
    </row>
    <row r="1350" spans="1:7" x14ac:dyDescent="0.3">
      <c r="A1350">
        <v>1349</v>
      </c>
      <c r="B1350">
        <v>907</v>
      </c>
      <c r="C1350" s="1">
        <v>45733</v>
      </c>
      <c r="D1350" t="s">
        <v>20</v>
      </c>
      <c r="E1350" t="s">
        <v>18</v>
      </c>
      <c r="F1350" t="s">
        <v>30</v>
      </c>
      <c r="G1350">
        <v>35</v>
      </c>
    </row>
    <row r="1351" spans="1:7" x14ac:dyDescent="0.3">
      <c r="A1351">
        <v>1350</v>
      </c>
      <c r="B1351">
        <v>908</v>
      </c>
      <c r="C1351" s="1">
        <v>45733</v>
      </c>
      <c r="D1351" t="s">
        <v>20</v>
      </c>
      <c r="E1351" t="s">
        <v>19</v>
      </c>
      <c r="F1351" t="s">
        <v>29</v>
      </c>
      <c r="G1351">
        <v>25</v>
      </c>
    </row>
    <row r="1352" spans="1:7" x14ac:dyDescent="0.3">
      <c r="A1352">
        <v>1351</v>
      </c>
      <c r="B1352">
        <v>908</v>
      </c>
      <c r="C1352" s="1">
        <v>45733</v>
      </c>
      <c r="D1352" t="s">
        <v>20</v>
      </c>
      <c r="E1352" t="s">
        <v>19</v>
      </c>
      <c r="F1352" t="s">
        <v>25</v>
      </c>
      <c r="G1352">
        <v>25</v>
      </c>
    </row>
    <row r="1353" spans="1:7" x14ac:dyDescent="0.3">
      <c r="A1353">
        <v>1352</v>
      </c>
      <c r="B1353">
        <v>909</v>
      </c>
      <c r="C1353" s="1">
        <v>45733</v>
      </c>
      <c r="D1353" t="s">
        <v>21</v>
      </c>
      <c r="E1353" t="s">
        <v>16</v>
      </c>
      <c r="F1353" t="s">
        <v>27</v>
      </c>
      <c r="G1353">
        <v>13</v>
      </c>
    </row>
    <row r="1354" spans="1:7" x14ac:dyDescent="0.3">
      <c r="A1354">
        <v>1353</v>
      </c>
      <c r="B1354">
        <v>909</v>
      </c>
      <c r="C1354" s="1">
        <v>45733</v>
      </c>
      <c r="D1354" t="s">
        <v>21</v>
      </c>
      <c r="E1354" t="s">
        <v>16</v>
      </c>
      <c r="F1354" t="s">
        <v>27</v>
      </c>
      <c r="G1354">
        <v>7</v>
      </c>
    </row>
    <row r="1355" spans="1:7" x14ac:dyDescent="0.3">
      <c r="A1355">
        <v>1354</v>
      </c>
      <c r="B1355">
        <v>910</v>
      </c>
      <c r="C1355" s="1">
        <v>45733</v>
      </c>
      <c r="D1355" t="s">
        <v>21</v>
      </c>
      <c r="E1355" t="s">
        <v>17</v>
      </c>
      <c r="F1355" t="s">
        <v>27</v>
      </c>
      <c r="G1355">
        <v>7</v>
      </c>
    </row>
    <row r="1356" spans="1:7" x14ac:dyDescent="0.3">
      <c r="A1356">
        <v>1355</v>
      </c>
      <c r="B1356">
        <v>910</v>
      </c>
      <c r="C1356" s="1">
        <v>45733</v>
      </c>
      <c r="D1356" t="s">
        <v>21</v>
      </c>
      <c r="E1356" t="s">
        <v>17</v>
      </c>
      <c r="F1356" t="s">
        <v>27</v>
      </c>
      <c r="G1356">
        <v>6</v>
      </c>
    </row>
    <row r="1357" spans="1:7" x14ac:dyDescent="0.3">
      <c r="A1357">
        <v>1356</v>
      </c>
      <c r="B1357">
        <v>910</v>
      </c>
      <c r="C1357" s="1">
        <v>45733</v>
      </c>
      <c r="D1357" t="s">
        <v>21</v>
      </c>
      <c r="E1357" t="s">
        <v>17</v>
      </c>
      <c r="F1357" t="s">
        <v>28</v>
      </c>
      <c r="G1357">
        <v>22</v>
      </c>
    </row>
    <row r="1358" spans="1:7" x14ac:dyDescent="0.3">
      <c r="A1358">
        <v>1357</v>
      </c>
      <c r="B1358">
        <v>910</v>
      </c>
      <c r="C1358" s="1">
        <v>45733</v>
      </c>
      <c r="D1358" t="s">
        <v>21</v>
      </c>
      <c r="E1358" t="s">
        <v>17</v>
      </c>
      <c r="F1358" t="s">
        <v>25</v>
      </c>
      <c r="G1358">
        <v>33</v>
      </c>
    </row>
    <row r="1359" spans="1:7" x14ac:dyDescent="0.3">
      <c r="A1359">
        <v>1358</v>
      </c>
      <c r="B1359">
        <v>910</v>
      </c>
      <c r="C1359" s="1">
        <v>45733</v>
      </c>
      <c r="D1359" t="s">
        <v>21</v>
      </c>
      <c r="E1359" t="s">
        <v>17</v>
      </c>
      <c r="F1359" t="s">
        <v>25</v>
      </c>
      <c r="G1359">
        <v>5</v>
      </c>
    </row>
    <row r="1360" spans="1:7" x14ac:dyDescent="0.3">
      <c r="A1360">
        <v>1359</v>
      </c>
      <c r="B1360">
        <v>911</v>
      </c>
      <c r="C1360" s="1">
        <v>45733</v>
      </c>
      <c r="D1360" t="s">
        <v>21</v>
      </c>
      <c r="E1360" t="s">
        <v>18</v>
      </c>
      <c r="F1360" t="s">
        <v>25</v>
      </c>
      <c r="G1360">
        <v>17</v>
      </c>
    </row>
    <row r="1361" spans="1:7" x14ac:dyDescent="0.3">
      <c r="A1361">
        <v>1360</v>
      </c>
      <c r="B1361">
        <v>911</v>
      </c>
      <c r="C1361" s="1">
        <v>45733</v>
      </c>
      <c r="D1361" t="s">
        <v>21</v>
      </c>
      <c r="E1361" t="s">
        <v>18</v>
      </c>
      <c r="F1361" t="s">
        <v>30</v>
      </c>
      <c r="G1361">
        <v>5</v>
      </c>
    </row>
    <row r="1362" spans="1:7" x14ac:dyDescent="0.3">
      <c r="A1362">
        <v>1361</v>
      </c>
      <c r="B1362">
        <v>911</v>
      </c>
      <c r="C1362" s="1">
        <v>45733</v>
      </c>
      <c r="D1362" t="s">
        <v>21</v>
      </c>
      <c r="E1362" t="s">
        <v>18</v>
      </c>
      <c r="F1362" t="s">
        <v>25</v>
      </c>
      <c r="G1362">
        <v>71</v>
      </c>
    </row>
    <row r="1363" spans="1:7" x14ac:dyDescent="0.3">
      <c r="A1363">
        <v>1362</v>
      </c>
      <c r="B1363">
        <v>912</v>
      </c>
      <c r="C1363" s="1">
        <v>45733</v>
      </c>
      <c r="D1363" t="s">
        <v>21</v>
      </c>
      <c r="E1363" t="s">
        <v>19</v>
      </c>
      <c r="F1363" t="s">
        <v>29</v>
      </c>
      <c r="G1363">
        <v>30</v>
      </c>
    </row>
    <row r="1364" spans="1:7" x14ac:dyDescent="0.3">
      <c r="A1364">
        <v>1363</v>
      </c>
      <c r="B1364">
        <v>913</v>
      </c>
      <c r="C1364" s="1">
        <v>45734</v>
      </c>
      <c r="D1364" t="s">
        <v>15</v>
      </c>
      <c r="E1364" t="s">
        <v>16</v>
      </c>
      <c r="F1364" t="s">
        <v>30</v>
      </c>
      <c r="G1364">
        <v>5</v>
      </c>
    </row>
    <row r="1365" spans="1:7" x14ac:dyDescent="0.3">
      <c r="A1365">
        <v>1364</v>
      </c>
      <c r="B1365">
        <v>913</v>
      </c>
      <c r="C1365" s="1">
        <v>45734</v>
      </c>
      <c r="D1365" t="s">
        <v>15</v>
      </c>
      <c r="E1365" t="s">
        <v>16</v>
      </c>
      <c r="F1365" t="s">
        <v>25</v>
      </c>
      <c r="G1365">
        <v>50</v>
      </c>
    </row>
    <row r="1366" spans="1:7" x14ac:dyDescent="0.3">
      <c r="A1366">
        <v>1365</v>
      </c>
      <c r="B1366">
        <v>915</v>
      </c>
      <c r="C1366" s="1">
        <v>45734</v>
      </c>
      <c r="D1366" t="s">
        <v>15</v>
      </c>
      <c r="E1366" t="s">
        <v>18</v>
      </c>
      <c r="F1366" t="s">
        <v>27</v>
      </c>
      <c r="G1366">
        <v>19</v>
      </c>
    </row>
    <row r="1367" spans="1:7" x14ac:dyDescent="0.3">
      <c r="A1367">
        <v>1366</v>
      </c>
      <c r="B1367">
        <v>916</v>
      </c>
      <c r="C1367" s="1">
        <v>45734</v>
      </c>
      <c r="D1367" t="s">
        <v>15</v>
      </c>
      <c r="E1367" t="s">
        <v>19</v>
      </c>
      <c r="F1367" t="s">
        <v>25</v>
      </c>
      <c r="G1367">
        <v>5</v>
      </c>
    </row>
    <row r="1368" spans="1:7" x14ac:dyDescent="0.3">
      <c r="A1368">
        <v>1367</v>
      </c>
      <c r="B1368">
        <v>917</v>
      </c>
      <c r="C1368" s="1">
        <v>45734</v>
      </c>
      <c r="D1368" t="s">
        <v>20</v>
      </c>
      <c r="E1368" t="s">
        <v>16</v>
      </c>
      <c r="F1368" t="s">
        <v>27</v>
      </c>
      <c r="G1368">
        <v>5</v>
      </c>
    </row>
    <row r="1369" spans="1:7" x14ac:dyDescent="0.3">
      <c r="A1369">
        <v>1368</v>
      </c>
      <c r="B1369">
        <v>918</v>
      </c>
      <c r="C1369" s="1">
        <v>45734</v>
      </c>
      <c r="D1369" t="s">
        <v>20</v>
      </c>
      <c r="E1369" t="s">
        <v>17</v>
      </c>
      <c r="F1369" t="s">
        <v>25</v>
      </c>
      <c r="G1369">
        <v>44</v>
      </c>
    </row>
    <row r="1370" spans="1:7" x14ac:dyDescent="0.3">
      <c r="A1370">
        <v>1369</v>
      </c>
      <c r="B1370">
        <v>918</v>
      </c>
      <c r="C1370" s="1">
        <v>45734</v>
      </c>
      <c r="D1370" t="s">
        <v>20</v>
      </c>
      <c r="E1370" t="s">
        <v>17</v>
      </c>
      <c r="F1370" t="s">
        <v>25</v>
      </c>
      <c r="G1370">
        <v>108</v>
      </c>
    </row>
    <row r="1371" spans="1:7" x14ac:dyDescent="0.3">
      <c r="A1371">
        <v>1370</v>
      </c>
      <c r="B1371">
        <v>919</v>
      </c>
      <c r="C1371" s="1">
        <v>45734</v>
      </c>
      <c r="D1371" t="s">
        <v>20</v>
      </c>
      <c r="E1371" t="s">
        <v>18</v>
      </c>
      <c r="F1371" t="s">
        <v>27</v>
      </c>
      <c r="G1371">
        <v>7</v>
      </c>
    </row>
    <row r="1372" spans="1:7" x14ac:dyDescent="0.3">
      <c r="A1372">
        <v>1371</v>
      </c>
      <c r="B1372">
        <v>919</v>
      </c>
      <c r="C1372" s="1">
        <v>45734</v>
      </c>
      <c r="D1372" t="s">
        <v>20</v>
      </c>
      <c r="E1372" t="s">
        <v>18</v>
      </c>
      <c r="F1372" t="s">
        <v>27</v>
      </c>
      <c r="G1372">
        <v>5</v>
      </c>
    </row>
    <row r="1373" spans="1:7" x14ac:dyDescent="0.3">
      <c r="A1373">
        <v>1372</v>
      </c>
      <c r="B1373">
        <v>920</v>
      </c>
      <c r="C1373" s="1">
        <v>45734</v>
      </c>
      <c r="D1373" t="s">
        <v>20</v>
      </c>
      <c r="E1373" t="s">
        <v>19</v>
      </c>
      <c r="F1373" t="s">
        <v>26</v>
      </c>
      <c r="G1373">
        <v>12</v>
      </c>
    </row>
    <row r="1374" spans="1:7" x14ac:dyDescent="0.3">
      <c r="A1374">
        <v>1373</v>
      </c>
      <c r="B1374">
        <v>922</v>
      </c>
      <c r="C1374" s="1">
        <v>45734</v>
      </c>
      <c r="D1374" t="s">
        <v>21</v>
      </c>
      <c r="E1374" t="s">
        <v>17</v>
      </c>
      <c r="F1374" t="s">
        <v>25</v>
      </c>
      <c r="G1374">
        <v>17</v>
      </c>
    </row>
    <row r="1375" spans="1:7" x14ac:dyDescent="0.3">
      <c r="A1375">
        <v>1374</v>
      </c>
      <c r="B1375">
        <v>923</v>
      </c>
      <c r="C1375" s="1">
        <v>45734</v>
      </c>
      <c r="D1375" t="s">
        <v>21</v>
      </c>
      <c r="E1375" t="s">
        <v>18</v>
      </c>
      <c r="F1375" t="s">
        <v>27</v>
      </c>
      <c r="G1375">
        <v>5</v>
      </c>
    </row>
    <row r="1376" spans="1:7" x14ac:dyDescent="0.3">
      <c r="A1376">
        <v>1375</v>
      </c>
      <c r="B1376">
        <v>924</v>
      </c>
      <c r="C1376" s="1">
        <v>45734</v>
      </c>
      <c r="D1376" t="s">
        <v>21</v>
      </c>
      <c r="E1376" t="s">
        <v>19</v>
      </c>
      <c r="F1376" t="s">
        <v>29</v>
      </c>
      <c r="G1376">
        <v>41</v>
      </c>
    </row>
    <row r="1377" spans="1:7" x14ac:dyDescent="0.3">
      <c r="A1377">
        <v>1376</v>
      </c>
      <c r="B1377">
        <v>924</v>
      </c>
      <c r="C1377" s="1">
        <v>45734</v>
      </c>
      <c r="D1377" t="s">
        <v>21</v>
      </c>
      <c r="E1377" t="s">
        <v>19</v>
      </c>
      <c r="F1377" t="s">
        <v>25</v>
      </c>
      <c r="G1377">
        <v>17</v>
      </c>
    </row>
    <row r="1378" spans="1:7" x14ac:dyDescent="0.3">
      <c r="A1378">
        <v>1377</v>
      </c>
      <c r="B1378">
        <v>924</v>
      </c>
      <c r="C1378" s="1">
        <v>45734</v>
      </c>
      <c r="D1378" t="s">
        <v>21</v>
      </c>
      <c r="E1378" t="s">
        <v>19</v>
      </c>
      <c r="F1378" t="s">
        <v>27</v>
      </c>
      <c r="G1378">
        <v>5</v>
      </c>
    </row>
    <row r="1379" spans="1:7" x14ac:dyDescent="0.3">
      <c r="A1379">
        <v>1378</v>
      </c>
      <c r="B1379">
        <v>925</v>
      </c>
      <c r="C1379" s="1">
        <v>45735</v>
      </c>
      <c r="D1379" t="s">
        <v>15</v>
      </c>
      <c r="E1379" t="s">
        <v>16</v>
      </c>
      <c r="F1379" t="s">
        <v>25</v>
      </c>
      <c r="G1379">
        <v>11</v>
      </c>
    </row>
    <row r="1380" spans="1:7" x14ac:dyDescent="0.3">
      <c r="A1380">
        <v>1379</v>
      </c>
      <c r="B1380">
        <v>926</v>
      </c>
      <c r="C1380" s="1">
        <v>45735</v>
      </c>
      <c r="D1380" t="s">
        <v>15</v>
      </c>
      <c r="E1380" t="s">
        <v>17</v>
      </c>
      <c r="F1380" t="s">
        <v>28</v>
      </c>
      <c r="G1380">
        <v>13</v>
      </c>
    </row>
    <row r="1381" spans="1:7" x14ac:dyDescent="0.3">
      <c r="A1381">
        <v>1380</v>
      </c>
      <c r="B1381">
        <v>928</v>
      </c>
      <c r="C1381" s="1">
        <v>45735</v>
      </c>
      <c r="D1381" t="s">
        <v>15</v>
      </c>
      <c r="E1381" t="s">
        <v>19</v>
      </c>
      <c r="F1381" t="s">
        <v>25</v>
      </c>
      <c r="G1381">
        <v>37</v>
      </c>
    </row>
    <row r="1382" spans="1:7" x14ac:dyDescent="0.3">
      <c r="A1382">
        <v>1381</v>
      </c>
      <c r="B1382">
        <v>928</v>
      </c>
      <c r="C1382" s="1">
        <v>45735</v>
      </c>
      <c r="D1382" t="s">
        <v>15</v>
      </c>
      <c r="E1382" t="s">
        <v>19</v>
      </c>
      <c r="F1382" t="s">
        <v>26</v>
      </c>
      <c r="G1382">
        <v>5</v>
      </c>
    </row>
    <row r="1383" spans="1:7" x14ac:dyDescent="0.3">
      <c r="A1383">
        <v>1382</v>
      </c>
      <c r="B1383">
        <v>928</v>
      </c>
      <c r="C1383" s="1">
        <v>45735</v>
      </c>
      <c r="D1383" t="s">
        <v>15</v>
      </c>
      <c r="E1383" t="s">
        <v>19</v>
      </c>
      <c r="F1383" t="s">
        <v>27</v>
      </c>
      <c r="G1383">
        <v>20</v>
      </c>
    </row>
    <row r="1384" spans="1:7" x14ac:dyDescent="0.3">
      <c r="A1384">
        <v>1383</v>
      </c>
      <c r="B1384">
        <v>929</v>
      </c>
      <c r="C1384" s="1">
        <v>45735</v>
      </c>
      <c r="D1384" t="s">
        <v>20</v>
      </c>
      <c r="E1384" t="s">
        <v>16</v>
      </c>
      <c r="F1384" t="s">
        <v>27</v>
      </c>
      <c r="G1384">
        <v>5</v>
      </c>
    </row>
    <row r="1385" spans="1:7" x14ac:dyDescent="0.3">
      <c r="A1385">
        <v>1384</v>
      </c>
      <c r="B1385">
        <v>930</v>
      </c>
      <c r="C1385" s="1">
        <v>45735</v>
      </c>
      <c r="D1385" t="s">
        <v>20</v>
      </c>
      <c r="E1385" t="s">
        <v>17</v>
      </c>
      <c r="F1385" t="s">
        <v>25</v>
      </c>
      <c r="G1385">
        <v>75</v>
      </c>
    </row>
    <row r="1386" spans="1:7" x14ac:dyDescent="0.3">
      <c r="A1386">
        <v>1385</v>
      </c>
      <c r="B1386">
        <v>930</v>
      </c>
      <c r="C1386" s="1">
        <v>45735</v>
      </c>
      <c r="D1386" t="s">
        <v>20</v>
      </c>
      <c r="E1386" t="s">
        <v>17</v>
      </c>
      <c r="F1386" t="s">
        <v>29</v>
      </c>
      <c r="G1386">
        <v>27</v>
      </c>
    </row>
    <row r="1387" spans="1:7" x14ac:dyDescent="0.3">
      <c r="A1387">
        <v>1386</v>
      </c>
      <c r="B1387">
        <v>931</v>
      </c>
      <c r="C1387" s="1">
        <v>45735</v>
      </c>
      <c r="D1387" t="s">
        <v>20</v>
      </c>
      <c r="E1387" t="s">
        <v>18</v>
      </c>
      <c r="F1387" t="s">
        <v>25</v>
      </c>
      <c r="G1387">
        <v>96</v>
      </c>
    </row>
    <row r="1388" spans="1:7" x14ac:dyDescent="0.3">
      <c r="A1388">
        <v>1387</v>
      </c>
      <c r="B1388">
        <v>932</v>
      </c>
      <c r="C1388" s="1">
        <v>45735</v>
      </c>
      <c r="D1388" t="s">
        <v>20</v>
      </c>
      <c r="E1388" t="s">
        <v>19</v>
      </c>
      <c r="F1388" t="s">
        <v>25</v>
      </c>
      <c r="G1388">
        <v>77</v>
      </c>
    </row>
    <row r="1389" spans="1:7" x14ac:dyDescent="0.3">
      <c r="A1389">
        <v>1388</v>
      </c>
      <c r="B1389">
        <v>933</v>
      </c>
      <c r="C1389" s="1">
        <v>45735</v>
      </c>
      <c r="D1389" t="s">
        <v>21</v>
      </c>
      <c r="E1389" t="s">
        <v>16</v>
      </c>
      <c r="F1389" t="s">
        <v>28</v>
      </c>
      <c r="G1389">
        <v>61</v>
      </c>
    </row>
    <row r="1390" spans="1:7" x14ac:dyDescent="0.3">
      <c r="A1390">
        <v>1389</v>
      </c>
      <c r="B1390">
        <v>933</v>
      </c>
      <c r="C1390" s="1">
        <v>45735</v>
      </c>
      <c r="D1390" t="s">
        <v>21</v>
      </c>
      <c r="E1390" t="s">
        <v>16</v>
      </c>
      <c r="F1390" t="s">
        <v>25</v>
      </c>
      <c r="G1390">
        <v>6</v>
      </c>
    </row>
    <row r="1391" spans="1:7" x14ac:dyDescent="0.3">
      <c r="A1391">
        <v>1390</v>
      </c>
      <c r="B1391">
        <v>933</v>
      </c>
      <c r="C1391" s="1">
        <v>45735</v>
      </c>
      <c r="D1391" t="s">
        <v>21</v>
      </c>
      <c r="E1391" t="s">
        <v>16</v>
      </c>
      <c r="F1391" t="s">
        <v>30</v>
      </c>
      <c r="G1391">
        <v>6</v>
      </c>
    </row>
    <row r="1392" spans="1:7" x14ac:dyDescent="0.3">
      <c r="A1392">
        <v>1391</v>
      </c>
      <c r="B1392">
        <v>933</v>
      </c>
      <c r="C1392" s="1">
        <v>45735</v>
      </c>
      <c r="D1392" t="s">
        <v>21</v>
      </c>
      <c r="E1392" t="s">
        <v>16</v>
      </c>
      <c r="F1392" t="s">
        <v>26</v>
      </c>
      <c r="G1392">
        <v>19</v>
      </c>
    </row>
    <row r="1393" spans="1:7" x14ac:dyDescent="0.3">
      <c r="A1393">
        <v>1392</v>
      </c>
      <c r="B1393">
        <v>935</v>
      </c>
      <c r="C1393" s="1">
        <v>45735</v>
      </c>
      <c r="D1393" t="s">
        <v>21</v>
      </c>
      <c r="E1393" t="s">
        <v>18</v>
      </c>
      <c r="F1393" t="s">
        <v>25</v>
      </c>
      <c r="G1393">
        <v>9</v>
      </c>
    </row>
    <row r="1394" spans="1:7" x14ac:dyDescent="0.3">
      <c r="A1394">
        <v>1393</v>
      </c>
      <c r="B1394">
        <v>935</v>
      </c>
      <c r="C1394" s="1">
        <v>45735</v>
      </c>
      <c r="D1394" t="s">
        <v>21</v>
      </c>
      <c r="E1394" t="s">
        <v>18</v>
      </c>
      <c r="F1394" t="s">
        <v>27</v>
      </c>
      <c r="G1394">
        <v>54</v>
      </c>
    </row>
    <row r="1395" spans="1:7" x14ac:dyDescent="0.3">
      <c r="A1395">
        <v>1394</v>
      </c>
      <c r="B1395">
        <v>935</v>
      </c>
      <c r="C1395" s="1">
        <v>45735</v>
      </c>
      <c r="D1395" t="s">
        <v>21</v>
      </c>
      <c r="E1395" t="s">
        <v>18</v>
      </c>
      <c r="F1395" t="s">
        <v>30</v>
      </c>
      <c r="G1395">
        <v>27</v>
      </c>
    </row>
    <row r="1396" spans="1:7" x14ac:dyDescent="0.3">
      <c r="A1396">
        <v>1395</v>
      </c>
      <c r="B1396">
        <v>936</v>
      </c>
      <c r="C1396" s="1">
        <v>45735</v>
      </c>
      <c r="D1396" t="s">
        <v>21</v>
      </c>
      <c r="E1396" t="s">
        <v>19</v>
      </c>
      <c r="F1396" t="s">
        <v>25</v>
      </c>
      <c r="G1396">
        <v>132</v>
      </c>
    </row>
    <row r="1397" spans="1:7" x14ac:dyDescent="0.3">
      <c r="A1397">
        <v>1396</v>
      </c>
      <c r="B1397">
        <v>938</v>
      </c>
      <c r="C1397" s="1">
        <v>45736</v>
      </c>
      <c r="D1397" t="s">
        <v>15</v>
      </c>
      <c r="E1397" t="s">
        <v>17</v>
      </c>
      <c r="F1397" t="s">
        <v>26</v>
      </c>
      <c r="G1397">
        <v>5</v>
      </c>
    </row>
    <row r="1398" spans="1:7" x14ac:dyDescent="0.3">
      <c r="A1398">
        <v>1397</v>
      </c>
      <c r="B1398">
        <v>938</v>
      </c>
      <c r="C1398" s="1">
        <v>45736</v>
      </c>
      <c r="D1398" t="s">
        <v>15</v>
      </c>
      <c r="E1398" t="s">
        <v>17</v>
      </c>
      <c r="F1398" t="s">
        <v>25</v>
      </c>
      <c r="G1398">
        <v>80</v>
      </c>
    </row>
    <row r="1399" spans="1:7" x14ac:dyDescent="0.3">
      <c r="A1399">
        <v>1398</v>
      </c>
      <c r="B1399">
        <v>939</v>
      </c>
      <c r="C1399" s="1">
        <v>45736</v>
      </c>
      <c r="D1399" t="s">
        <v>15</v>
      </c>
      <c r="E1399" t="s">
        <v>18</v>
      </c>
      <c r="F1399" t="s">
        <v>25</v>
      </c>
      <c r="G1399">
        <v>12</v>
      </c>
    </row>
    <row r="1400" spans="1:7" x14ac:dyDescent="0.3">
      <c r="A1400">
        <v>1399</v>
      </c>
      <c r="B1400">
        <v>940</v>
      </c>
      <c r="C1400" s="1">
        <v>45736</v>
      </c>
      <c r="D1400" t="s">
        <v>15</v>
      </c>
      <c r="E1400" t="s">
        <v>19</v>
      </c>
      <c r="F1400" t="s">
        <v>27</v>
      </c>
      <c r="G1400">
        <v>40</v>
      </c>
    </row>
    <row r="1401" spans="1:7" x14ac:dyDescent="0.3">
      <c r="A1401">
        <v>1400</v>
      </c>
      <c r="B1401">
        <v>940</v>
      </c>
      <c r="C1401" s="1">
        <v>45736</v>
      </c>
      <c r="D1401" t="s">
        <v>15</v>
      </c>
      <c r="E1401" t="s">
        <v>19</v>
      </c>
      <c r="F1401" t="s">
        <v>25</v>
      </c>
      <c r="G1401">
        <v>5</v>
      </c>
    </row>
    <row r="1402" spans="1:7" x14ac:dyDescent="0.3">
      <c r="A1402">
        <v>1401</v>
      </c>
      <c r="B1402">
        <v>941</v>
      </c>
      <c r="C1402" s="1">
        <v>45736</v>
      </c>
      <c r="D1402" t="s">
        <v>20</v>
      </c>
      <c r="E1402" t="s">
        <v>16</v>
      </c>
      <c r="F1402" t="s">
        <v>27</v>
      </c>
      <c r="G1402">
        <v>5</v>
      </c>
    </row>
    <row r="1403" spans="1:7" x14ac:dyDescent="0.3">
      <c r="A1403">
        <v>1402</v>
      </c>
      <c r="B1403">
        <v>941</v>
      </c>
      <c r="C1403" s="1">
        <v>45736</v>
      </c>
      <c r="D1403" t="s">
        <v>20</v>
      </c>
      <c r="E1403" t="s">
        <v>16</v>
      </c>
      <c r="F1403" t="s">
        <v>28</v>
      </c>
      <c r="G1403">
        <v>29</v>
      </c>
    </row>
    <row r="1404" spans="1:7" x14ac:dyDescent="0.3">
      <c r="A1404">
        <v>1403</v>
      </c>
      <c r="B1404">
        <v>941</v>
      </c>
      <c r="C1404" s="1">
        <v>45736</v>
      </c>
      <c r="D1404" t="s">
        <v>20</v>
      </c>
      <c r="E1404" t="s">
        <v>16</v>
      </c>
      <c r="F1404" t="s">
        <v>25</v>
      </c>
      <c r="G1404">
        <v>49</v>
      </c>
    </row>
    <row r="1405" spans="1:7" x14ac:dyDescent="0.3">
      <c r="A1405">
        <v>1404</v>
      </c>
      <c r="B1405">
        <v>941</v>
      </c>
      <c r="C1405" s="1">
        <v>45736</v>
      </c>
      <c r="D1405" t="s">
        <v>20</v>
      </c>
      <c r="E1405" t="s">
        <v>16</v>
      </c>
      <c r="F1405" t="s">
        <v>25</v>
      </c>
      <c r="G1405">
        <v>39</v>
      </c>
    </row>
    <row r="1406" spans="1:7" x14ac:dyDescent="0.3">
      <c r="A1406">
        <v>1405</v>
      </c>
      <c r="B1406">
        <v>942</v>
      </c>
      <c r="C1406" s="1">
        <v>45736</v>
      </c>
      <c r="D1406" t="s">
        <v>20</v>
      </c>
      <c r="E1406" t="s">
        <v>17</v>
      </c>
      <c r="F1406" t="s">
        <v>27</v>
      </c>
      <c r="G1406">
        <v>15</v>
      </c>
    </row>
    <row r="1407" spans="1:7" x14ac:dyDescent="0.3">
      <c r="A1407">
        <v>1406</v>
      </c>
      <c r="B1407">
        <v>943</v>
      </c>
      <c r="C1407" s="1">
        <v>45736</v>
      </c>
      <c r="D1407" t="s">
        <v>20</v>
      </c>
      <c r="E1407" t="s">
        <v>18</v>
      </c>
      <c r="F1407" t="s">
        <v>28</v>
      </c>
      <c r="G1407">
        <v>28</v>
      </c>
    </row>
    <row r="1408" spans="1:7" x14ac:dyDescent="0.3">
      <c r="A1408">
        <v>1407</v>
      </c>
      <c r="B1408">
        <v>943</v>
      </c>
      <c r="C1408" s="1">
        <v>45736</v>
      </c>
      <c r="D1408" t="s">
        <v>20</v>
      </c>
      <c r="E1408" t="s">
        <v>18</v>
      </c>
      <c r="F1408" t="s">
        <v>26</v>
      </c>
      <c r="G1408">
        <v>5</v>
      </c>
    </row>
    <row r="1409" spans="1:7" x14ac:dyDescent="0.3">
      <c r="A1409">
        <v>1408</v>
      </c>
      <c r="B1409">
        <v>944</v>
      </c>
      <c r="C1409" s="1">
        <v>45736</v>
      </c>
      <c r="D1409" t="s">
        <v>20</v>
      </c>
      <c r="E1409" t="s">
        <v>19</v>
      </c>
      <c r="F1409" t="s">
        <v>27</v>
      </c>
      <c r="G1409">
        <v>5</v>
      </c>
    </row>
    <row r="1410" spans="1:7" x14ac:dyDescent="0.3">
      <c r="A1410">
        <v>1409</v>
      </c>
      <c r="B1410">
        <v>944</v>
      </c>
      <c r="C1410" s="1">
        <v>45736</v>
      </c>
      <c r="D1410" t="s">
        <v>20</v>
      </c>
      <c r="E1410" t="s">
        <v>19</v>
      </c>
      <c r="F1410" t="s">
        <v>30</v>
      </c>
      <c r="G1410">
        <v>5</v>
      </c>
    </row>
    <row r="1411" spans="1:7" x14ac:dyDescent="0.3">
      <c r="A1411">
        <v>1410</v>
      </c>
      <c r="B1411">
        <v>944</v>
      </c>
      <c r="C1411" s="1">
        <v>45736</v>
      </c>
      <c r="D1411" t="s">
        <v>20</v>
      </c>
      <c r="E1411" t="s">
        <v>19</v>
      </c>
      <c r="F1411" t="s">
        <v>29</v>
      </c>
      <c r="G1411">
        <v>60</v>
      </c>
    </row>
    <row r="1412" spans="1:7" x14ac:dyDescent="0.3">
      <c r="A1412">
        <v>1411</v>
      </c>
      <c r="B1412">
        <v>945</v>
      </c>
      <c r="C1412" s="1">
        <v>45736</v>
      </c>
      <c r="D1412" t="s">
        <v>21</v>
      </c>
      <c r="E1412" t="s">
        <v>16</v>
      </c>
      <c r="F1412" t="s">
        <v>26</v>
      </c>
      <c r="G1412">
        <v>5</v>
      </c>
    </row>
    <row r="1413" spans="1:7" x14ac:dyDescent="0.3">
      <c r="A1413">
        <v>1412</v>
      </c>
      <c r="B1413">
        <v>945</v>
      </c>
      <c r="C1413" s="1">
        <v>45736</v>
      </c>
      <c r="D1413" t="s">
        <v>21</v>
      </c>
      <c r="E1413" t="s">
        <v>16</v>
      </c>
      <c r="F1413" t="s">
        <v>27</v>
      </c>
      <c r="G1413">
        <v>5</v>
      </c>
    </row>
    <row r="1414" spans="1:7" x14ac:dyDescent="0.3">
      <c r="A1414">
        <v>1413</v>
      </c>
      <c r="B1414">
        <v>946</v>
      </c>
      <c r="C1414" s="1">
        <v>45736</v>
      </c>
      <c r="D1414" t="s">
        <v>21</v>
      </c>
      <c r="E1414" t="s">
        <v>17</v>
      </c>
      <c r="F1414" t="s">
        <v>27</v>
      </c>
      <c r="G1414">
        <v>5</v>
      </c>
    </row>
    <row r="1415" spans="1:7" x14ac:dyDescent="0.3">
      <c r="A1415">
        <v>1414</v>
      </c>
      <c r="B1415">
        <v>946</v>
      </c>
      <c r="C1415" s="1">
        <v>45736</v>
      </c>
      <c r="D1415" t="s">
        <v>21</v>
      </c>
      <c r="E1415" t="s">
        <v>17</v>
      </c>
      <c r="F1415" t="s">
        <v>27</v>
      </c>
      <c r="G1415">
        <v>20</v>
      </c>
    </row>
    <row r="1416" spans="1:7" x14ac:dyDescent="0.3">
      <c r="A1416">
        <v>1415</v>
      </c>
      <c r="B1416">
        <v>947</v>
      </c>
      <c r="C1416" s="1">
        <v>45736</v>
      </c>
      <c r="D1416" t="s">
        <v>21</v>
      </c>
      <c r="E1416" t="s">
        <v>18</v>
      </c>
      <c r="F1416" t="s">
        <v>27</v>
      </c>
      <c r="G1416">
        <v>20</v>
      </c>
    </row>
    <row r="1417" spans="1:7" x14ac:dyDescent="0.3">
      <c r="A1417">
        <v>1416</v>
      </c>
      <c r="B1417">
        <v>947</v>
      </c>
      <c r="C1417" s="1">
        <v>45736</v>
      </c>
      <c r="D1417" t="s">
        <v>21</v>
      </c>
      <c r="E1417" t="s">
        <v>18</v>
      </c>
      <c r="F1417" t="s">
        <v>25</v>
      </c>
      <c r="G1417">
        <v>47</v>
      </c>
    </row>
    <row r="1418" spans="1:7" x14ac:dyDescent="0.3">
      <c r="A1418">
        <v>1417</v>
      </c>
      <c r="B1418">
        <v>949</v>
      </c>
      <c r="C1418" s="1">
        <v>45737</v>
      </c>
      <c r="D1418" t="s">
        <v>15</v>
      </c>
      <c r="E1418" t="s">
        <v>16</v>
      </c>
      <c r="F1418" t="s">
        <v>27</v>
      </c>
      <c r="G1418">
        <v>17</v>
      </c>
    </row>
    <row r="1419" spans="1:7" x14ac:dyDescent="0.3">
      <c r="A1419">
        <v>1418</v>
      </c>
      <c r="B1419">
        <v>950</v>
      </c>
      <c r="C1419" s="1">
        <v>45737</v>
      </c>
      <c r="D1419" t="s">
        <v>15</v>
      </c>
      <c r="E1419" t="s">
        <v>17</v>
      </c>
      <c r="F1419" t="s">
        <v>25</v>
      </c>
      <c r="G1419">
        <v>10</v>
      </c>
    </row>
    <row r="1420" spans="1:7" x14ac:dyDescent="0.3">
      <c r="A1420">
        <v>1419</v>
      </c>
      <c r="B1420">
        <v>951</v>
      </c>
      <c r="C1420" s="1">
        <v>45737</v>
      </c>
      <c r="D1420" t="s">
        <v>15</v>
      </c>
      <c r="E1420" t="s">
        <v>18</v>
      </c>
      <c r="F1420" t="s">
        <v>25</v>
      </c>
      <c r="G1420">
        <v>12</v>
      </c>
    </row>
    <row r="1421" spans="1:7" x14ac:dyDescent="0.3">
      <c r="A1421">
        <v>1420</v>
      </c>
      <c r="B1421">
        <v>952</v>
      </c>
      <c r="C1421" s="1">
        <v>45737</v>
      </c>
      <c r="D1421" t="s">
        <v>15</v>
      </c>
      <c r="E1421" t="s">
        <v>19</v>
      </c>
      <c r="F1421" t="s">
        <v>27</v>
      </c>
      <c r="G1421">
        <v>47</v>
      </c>
    </row>
    <row r="1422" spans="1:7" x14ac:dyDescent="0.3">
      <c r="A1422">
        <v>1421</v>
      </c>
      <c r="B1422">
        <v>952</v>
      </c>
      <c r="C1422" s="1">
        <v>45737</v>
      </c>
      <c r="D1422" t="s">
        <v>15</v>
      </c>
      <c r="E1422" t="s">
        <v>19</v>
      </c>
      <c r="F1422" t="s">
        <v>30</v>
      </c>
      <c r="G1422">
        <v>5</v>
      </c>
    </row>
    <row r="1423" spans="1:7" x14ac:dyDescent="0.3">
      <c r="A1423">
        <v>1422</v>
      </c>
      <c r="B1423">
        <v>952</v>
      </c>
      <c r="C1423" s="1">
        <v>45737</v>
      </c>
      <c r="D1423" t="s">
        <v>15</v>
      </c>
      <c r="E1423" t="s">
        <v>19</v>
      </c>
      <c r="F1423" t="s">
        <v>26</v>
      </c>
      <c r="G1423">
        <v>25</v>
      </c>
    </row>
    <row r="1424" spans="1:7" x14ac:dyDescent="0.3">
      <c r="A1424">
        <v>1423</v>
      </c>
      <c r="B1424">
        <v>953</v>
      </c>
      <c r="C1424" s="1">
        <v>45737</v>
      </c>
      <c r="D1424" t="s">
        <v>20</v>
      </c>
      <c r="E1424" t="s">
        <v>16</v>
      </c>
      <c r="F1424" t="s">
        <v>27</v>
      </c>
      <c r="G1424">
        <v>5</v>
      </c>
    </row>
    <row r="1425" spans="1:7" x14ac:dyDescent="0.3">
      <c r="A1425">
        <v>1424</v>
      </c>
      <c r="B1425">
        <v>953</v>
      </c>
      <c r="C1425" s="1">
        <v>45737</v>
      </c>
      <c r="D1425" t="s">
        <v>20</v>
      </c>
      <c r="E1425" t="s">
        <v>16</v>
      </c>
      <c r="F1425" t="s">
        <v>25</v>
      </c>
      <c r="G1425">
        <v>17</v>
      </c>
    </row>
    <row r="1426" spans="1:7" x14ac:dyDescent="0.3">
      <c r="A1426">
        <v>1425</v>
      </c>
      <c r="B1426">
        <v>954</v>
      </c>
      <c r="C1426" s="1">
        <v>45737</v>
      </c>
      <c r="D1426" t="s">
        <v>20</v>
      </c>
      <c r="E1426" t="s">
        <v>17</v>
      </c>
      <c r="F1426" t="s">
        <v>27</v>
      </c>
      <c r="G1426">
        <v>26</v>
      </c>
    </row>
    <row r="1427" spans="1:7" x14ac:dyDescent="0.3">
      <c r="A1427">
        <v>1426</v>
      </c>
      <c r="B1427">
        <v>954</v>
      </c>
      <c r="C1427" s="1">
        <v>45737</v>
      </c>
      <c r="D1427" t="s">
        <v>20</v>
      </c>
      <c r="E1427" t="s">
        <v>17</v>
      </c>
      <c r="F1427" t="s">
        <v>29</v>
      </c>
      <c r="G1427">
        <v>24</v>
      </c>
    </row>
    <row r="1428" spans="1:7" x14ac:dyDescent="0.3">
      <c r="A1428">
        <v>1427</v>
      </c>
      <c r="B1428">
        <v>955</v>
      </c>
      <c r="C1428" s="1">
        <v>45737</v>
      </c>
      <c r="D1428" t="s">
        <v>20</v>
      </c>
      <c r="E1428" t="s">
        <v>18</v>
      </c>
      <c r="F1428" t="s">
        <v>30</v>
      </c>
      <c r="G1428">
        <v>5</v>
      </c>
    </row>
    <row r="1429" spans="1:7" x14ac:dyDescent="0.3">
      <c r="A1429">
        <v>1428</v>
      </c>
      <c r="B1429">
        <v>956</v>
      </c>
      <c r="C1429" s="1">
        <v>45737</v>
      </c>
      <c r="D1429" t="s">
        <v>20</v>
      </c>
      <c r="E1429" t="s">
        <v>19</v>
      </c>
      <c r="F1429" t="s">
        <v>27</v>
      </c>
      <c r="G1429">
        <v>19</v>
      </c>
    </row>
    <row r="1430" spans="1:7" x14ac:dyDescent="0.3">
      <c r="A1430">
        <v>1429</v>
      </c>
      <c r="B1430">
        <v>957</v>
      </c>
      <c r="C1430" s="1">
        <v>45737</v>
      </c>
      <c r="D1430" t="s">
        <v>21</v>
      </c>
      <c r="E1430" t="s">
        <v>16</v>
      </c>
      <c r="F1430" t="s">
        <v>27</v>
      </c>
      <c r="G1430">
        <v>12</v>
      </c>
    </row>
    <row r="1431" spans="1:7" x14ac:dyDescent="0.3">
      <c r="A1431">
        <v>1430</v>
      </c>
      <c r="B1431">
        <v>957</v>
      </c>
      <c r="C1431" s="1">
        <v>45737</v>
      </c>
      <c r="D1431" t="s">
        <v>21</v>
      </c>
      <c r="E1431" t="s">
        <v>16</v>
      </c>
      <c r="F1431" t="s">
        <v>25</v>
      </c>
      <c r="G1431">
        <v>39</v>
      </c>
    </row>
    <row r="1432" spans="1:7" x14ac:dyDescent="0.3">
      <c r="A1432">
        <v>1431</v>
      </c>
      <c r="B1432">
        <v>957</v>
      </c>
      <c r="C1432" s="1">
        <v>45737</v>
      </c>
      <c r="D1432" t="s">
        <v>21</v>
      </c>
      <c r="E1432" t="s">
        <v>16</v>
      </c>
      <c r="F1432" t="s">
        <v>26</v>
      </c>
      <c r="G1432">
        <v>15</v>
      </c>
    </row>
    <row r="1433" spans="1:7" x14ac:dyDescent="0.3">
      <c r="A1433">
        <v>1432</v>
      </c>
      <c r="B1433">
        <v>958</v>
      </c>
      <c r="C1433" s="1">
        <v>45737</v>
      </c>
      <c r="D1433" t="s">
        <v>21</v>
      </c>
      <c r="E1433" t="s">
        <v>17</v>
      </c>
      <c r="F1433" t="s">
        <v>29</v>
      </c>
      <c r="G1433">
        <v>15</v>
      </c>
    </row>
    <row r="1434" spans="1:7" x14ac:dyDescent="0.3">
      <c r="A1434">
        <v>1433</v>
      </c>
      <c r="B1434">
        <v>959</v>
      </c>
      <c r="C1434" s="1">
        <v>45737</v>
      </c>
      <c r="D1434" t="s">
        <v>21</v>
      </c>
      <c r="E1434" t="s">
        <v>18</v>
      </c>
      <c r="F1434" t="s">
        <v>26</v>
      </c>
      <c r="G1434">
        <v>5</v>
      </c>
    </row>
    <row r="1435" spans="1:7" x14ac:dyDescent="0.3">
      <c r="A1435">
        <v>1434</v>
      </c>
      <c r="B1435">
        <v>959</v>
      </c>
      <c r="C1435" s="1">
        <v>45737</v>
      </c>
      <c r="D1435" t="s">
        <v>21</v>
      </c>
      <c r="E1435" t="s">
        <v>18</v>
      </c>
      <c r="F1435" t="s">
        <v>27</v>
      </c>
      <c r="G1435">
        <v>95</v>
      </c>
    </row>
    <row r="1436" spans="1:7" x14ac:dyDescent="0.3">
      <c r="A1436">
        <v>1435</v>
      </c>
      <c r="B1436">
        <v>960</v>
      </c>
      <c r="C1436" s="1">
        <v>45737</v>
      </c>
      <c r="D1436" t="s">
        <v>21</v>
      </c>
      <c r="E1436" t="s">
        <v>19</v>
      </c>
      <c r="F1436" t="s">
        <v>27</v>
      </c>
      <c r="G1436">
        <v>30</v>
      </c>
    </row>
    <row r="1437" spans="1:7" x14ac:dyDescent="0.3">
      <c r="A1437">
        <v>1436</v>
      </c>
      <c r="B1437">
        <v>961</v>
      </c>
      <c r="C1437" s="1">
        <v>45738</v>
      </c>
      <c r="D1437" t="s">
        <v>15</v>
      </c>
      <c r="E1437" t="s">
        <v>16</v>
      </c>
      <c r="F1437" t="s">
        <v>27</v>
      </c>
      <c r="G1437">
        <v>18</v>
      </c>
    </row>
    <row r="1438" spans="1:7" x14ac:dyDescent="0.3">
      <c r="A1438">
        <v>1437</v>
      </c>
      <c r="B1438">
        <v>961</v>
      </c>
      <c r="C1438" s="1">
        <v>45738</v>
      </c>
      <c r="D1438" t="s">
        <v>15</v>
      </c>
      <c r="E1438" t="s">
        <v>16</v>
      </c>
      <c r="F1438" t="s">
        <v>27</v>
      </c>
      <c r="G1438">
        <v>13</v>
      </c>
    </row>
    <row r="1439" spans="1:7" x14ac:dyDescent="0.3">
      <c r="A1439">
        <v>1438</v>
      </c>
      <c r="B1439">
        <v>962</v>
      </c>
      <c r="C1439" s="1">
        <v>45738</v>
      </c>
      <c r="D1439" t="s">
        <v>15</v>
      </c>
      <c r="E1439" t="s">
        <v>17</v>
      </c>
      <c r="F1439" t="s">
        <v>30</v>
      </c>
      <c r="G1439">
        <v>40</v>
      </c>
    </row>
    <row r="1440" spans="1:7" x14ac:dyDescent="0.3">
      <c r="A1440">
        <v>1439</v>
      </c>
      <c r="B1440">
        <v>962</v>
      </c>
      <c r="C1440" s="1">
        <v>45738</v>
      </c>
      <c r="D1440" t="s">
        <v>15</v>
      </c>
      <c r="E1440" t="s">
        <v>17</v>
      </c>
      <c r="F1440" t="s">
        <v>28</v>
      </c>
      <c r="G1440">
        <v>27</v>
      </c>
    </row>
    <row r="1441" spans="1:7" x14ac:dyDescent="0.3">
      <c r="A1441">
        <v>1440</v>
      </c>
      <c r="B1441">
        <v>964</v>
      </c>
      <c r="C1441" s="1">
        <v>45738</v>
      </c>
      <c r="D1441" t="s">
        <v>15</v>
      </c>
      <c r="E1441" t="s">
        <v>19</v>
      </c>
      <c r="F1441" t="s">
        <v>27</v>
      </c>
      <c r="G1441">
        <v>31</v>
      </c>
    </row>
    <row r="1442" spans="1:7" x14ac:dyDescent="0.3">
      <c r="A1442">
        <v>1441</v>
      </c>
      <c r="B1442">
        <v>965</v>
      </c>
      <c r="C1442" s="1">
        <v>45738</v>
      </c>
      <c r="D1442" t="s">
        <v>20</v>
      </c>
      <c r="E1442" t="s">
        <v>16</v>
      </c>
      <c r="F1442" t="s">
        <v>25</v>
      </c>
      <c r="G1442">
        <v>42</v>
      </c>
    </row>
    <row r="1443" spans="1:7" x14ac:dyDescent="0.3">
      <c r="A1443">
        <v>1442</v>
      </c>
      <c r="B1443">
        <v>966</v>
      </c>
      <c r="C1443" s="1">
        <v>45738</v>
      </c>
      <c r="D1443" t="s">
        <v>20</v>
      </c>
      <c r="E1443" t="s">
        <v>17</v>
      </c>
      <c r="F1443" t="s">
        <v>25</v>
      </c>
      <c r="G1443">
        <v>16</v>
      </c>
    </row>
    <row r="1444" spans="1:7" x14ac:dyDescent="0.3">
      <c r="A1444">
        <v>1443</v>
      </c>
      <c r="B1444">
        <v>966</v>
      </c>
      <c r="C1444" s="1">
        <v>45738</v>
      </c>
      <c r="D1444" t="s">
        <v>20</v>
      </c>
      <c r="E1444" t="s">
        <v>17</v>
      </c>
      <c r="F1444" t="s">
        <v>29</v>
      </c>
      <c r="G1444">
        <v>89</v>
      </c>
    </row>
    <row r="1445" spans="1:7" x14ac:dyDescent="0.3">
      <c r="A1445">
        <v>1444</v>
      </c>
      <c r="B1445">
        <v>966</v>
      </c>
      <c r="C1445" s="1">
        <v>45738</v>
      </c>
      <c r="D1445" t="s">
        <v>20</v>
      </c>
      <c r="E1445" t="s">
        <v>17</v>
      </c>
      <c r="F1445" t="s">
        <v>29</v>
      </c>
      <c r="G1445">
        <v>5</v>
      </c>
    </row>
    <row r="1446" spans="1:7" x14ac:dyDescent="0.3">
      <c r="A1446">
        <v>1445</v>
      </c>
      <c r="B1446">
        <v>968</v>
      </c>
      <c r="C1446" s="1">
        <v>45738</v>
      </c>
      <c r="D1446" t="s">
        <v>20</v>
      </c>
      <c r="E1446" t="s">
        <v>19</v>
      </c>
      <c r="F1446" t="s">
        <v>27</v>
      </c>
      <c r="G1446">
        <v>18</v>
      </c>
    </row>
    <row r="1447" spans="1:7" x14ac:dyDescent="0.3">
      <c r="A1447">
        <v>1446</v>
      </c>
      <c r="B1447">
        <v>969</v>
      </c>
      <c r="C1447" s="1">
        <v>45738</v>
      </c>
      <c r="D1447" t="s">
        <v>21</v>
      </c>
      <c r="E1447" t="s">
        <v>16</v>
      </c>
      <c r="F1447" t="s">
        <v>27</v>
      </c>
      <c r="G1447">
        <v>6</v>
      </c>
    </row>
    <row r="1448" spans="1:7" x14ac:dyDescent="0.3">
      <c r="A1448">
        <v>1447</v>
      </c>
      <c r="B1448">
        <v>969</v>
      </c>
      <c r="C1448" s="1">
        <v>45738</v>
      </c>
      <c r="D1448" t="s">
        <v>21</v>
      </c>
      <c r="E1448" t="s">
        <v>16</v>
      </c>
      <c r="F1448" t="s">
        <v>25</v>
      </c>
      <c r="G1448">
        <v>49</v>
      </c>
    </row>
    <row r="1449" spans="1:7" x14ac:dyDescent="0.3">
      <c r="A1449">
        <v>1448</v>
      </c>
      <c r="B1449">
        <v>969</v>
      </c>
      <c r="C1449" s="1">
        <v>45738</v>
      </c>
      <c r="D1449" t="s">
        <v>21</v>
      </c>
      <c r="E1449" t="s">
        <v>16</v>
      </c>
      <c r="F1449" t="s">
        <v>29</v>
      </c>
      <c r="G1449">
        <v>5</v>
      </c>
    </row>
    <row r="1450" spans="1:7" x14ac:dyDescent="0.3">
      <c r="A1450">
        <v>1449</v>
      </c>
      <c r="B1450">
        <v>970</v>
      </c>
      <c r="C1450" s="1">
        <v>45738</v>
      </c>
      <c r="D1450" t="s">
        <v>21</v>
      </c>
      <c r="E1450" t="s">
        <v>17</v>
      </c>
      <c r="F1450" t="s">
        <v>25</v>
      </c>
      <c r="G1450">
        <v>36</v>
      </c>
    </row>
    <row r="1451" spans="1:7" x14ac:dyDescent="0.3">
      <c r="A1451">
        <v>1450</v>
      </c>
      <c r="B1451">
        <v>970</v>
      </c>
      <c r="C1451" s="1">
        <v>45738</v>
      </c>
      <c r="D1451" t="s">
        <v>21</v>
      </c>
      <c r="E1451" t="s">
        <v>17</v>
      </c>
      <c r="F1451" t="s">
        <v>25</v>
      </c>
      <c r="G1451">
        <v>5</v>
      </c>
    </row>
    <row r="1452" spans="1:7" x14ac:dyDescent="0.3">
      <c r="A1452">
        <v>1451</v>
      </c>
      <c r="B1452">
        <v>971</v>
      </c>
      <c r="C1452" s="1">
        <v>45738</v>
      </c>
      <c r="D1452" t="s">
        <v>21</v>
      </c>
      <c r="E1452" t="s">
        <v>18</v>
      </c>
      <c r="F1452" t="s">
        <v>26</v>
      </c>
      <c r="G1452">
        <v>5</v>
      </c>
    </row>
    <row r="1453" spans="1:7" x14ac:dyDescent="0.3">
      <c r="A1453">
        <v>1452</v>
      </c>
      <c r="B1453">
        <v>973</v>
      </c>
      <c r="C1453" s="1">
        <v>45739</v>
      </c>
      <c r="D1453" t="s">
        <v>15</v>
      </c>
      <c r="E1453" t="s">
        <v>16</v>
      </c>
      <c r="F1453" t="s">
        <v>28</v>
      </c>
      <c r="G1453">
        <v>61</v>
      </c>
    </row>
    <row r="1454" spans="1:7" x14ac:dyDescent="0.3">
      <c r="A1454">
        <v>1453</v>
      </c>
      <c r="B1454">
        <v>974</v>
      </c>
      <c r="C1454" s="1">
        <v>45739</v>
      </c>
      <c r="D1454" t="s">
        <v>15</v>
      </c>
      <c r="E1454" t="s">
        <v>17</v>
      </c>
      <c r="F1454" t="s">
        <v>30</v>
      </c>
      <c r="G1454">
        <v>13</v>
      </c>
    </row>
    <row r="1455" spans="1:7" x14ac:dyDescent="0.3">
      <c r="A1455">
        <v>1454</v>
      </c>
      <c r="B1455">
        <v>974</v>
      </c>
      <c r="C1455" s="1">
        <v>45739</v>
      </c>
      <c r="D1455" t="s">
        <v>15</v>
      </c>
      <c r="E1455" t="s">
        <v>17</v>
      </c>
      <c r="F1455" t="s">
        <v>27</v>
      </c>
      <c r="G1455">
        <v>5</v>
      </c>
    </row>
    <row r="1456" spans="1:7" x14ac:dyDescent="0.3">
      <c r="A1456">
        <v>1455</v>
      </c>
      <c r="B1456">
        <v>976</v>
      </c>
      <c r="C1456" s="1">
        <v>45739</v>
      </c>
      <c r="D1456" t="s">
        <v>15</v>
      </c>
      <c r="E1456" t="s">
        <v>19</v>
      </c>
      <c r="F1456" t="s">
        <v>25</v>
      </c>
      <c r="G1456">
        <v>5</v>
      </c>
    </row>
    <row r="1457" spans="1:7" x14ac:dyDescent="0.3">
      <c r="A1457">
        <v>1456</v>
      </c>
      <c r="B1457">
        <v>976</v>
      </c>
      <c r="C1457" s="1">
        <v>45739</v>
      </c>
      <c r="D1457" t="s">
        <v>15</v>
      </c>
      <c r="E1457" t="s">
        <v>19</v>
      </c>
      <c r="F1457" t="s">
        <v>27</v>
      </c>
      <c r="G1457">
        <v>5</v>
      </c>
    </row>
    <row r="1458" spans="1:7" x14ac:dyDescent="0.3">
      <c r="A1458">
        <v>1457</v>
      </c>
      <c r="B1458">
        <v>976</v>
      </c>
      <c r="C1458" s="1">
        <v>45739</v>
      </c>
      <c r="D1458" t="s">
        <v>15</v>
      </c>
      <c r="E1458" t="s">
        <v>19</v>
      </c>
      <c r="F1458" t="s">
        <v>28</v>
      </c>
      <c r="G1458">
        <v>10</v>
      </c>
    </row>
    <row r="1459" spans="1:7" x14ac:dyDescent="0.3">
      <c r="A1459">
        <v>1458</v>
      </c>
      <c r="B1459">
        <v>977</v>
      </c>
      <c r="C1459" s="1">
        <v>45739</v>
      </c>
      <c r="D1459" t="s">
        <v>20</v>
      </c>
      <c r="E1459" t="s">
        <v>16</v>
      </c>
      <c r="F1459" t="s">
        <v>27</v>
      </c>
      <c r="G1459">
        <v>6</v>
      </c>
    </row>
    <row r="1460" spans="1:7" x14ac:dyDescent="0.3">
      <c r="A1460">
        <v>1459</v>
      </c>
      <c r="B1460">
        <v>978</v>
      </c>
      <c r="C1460" s="1">
        <v>45739</v>
      </c>
      <c r="D1460" t="s">
        <v>20</v>
      </c>
      <c r="E1460" t="s">
        <v>17</v>
      </c>
      <c r="F1460" t="s">
        <v>25</v>
      </c>
      <c r="G1460">
        <v>153</v>
      </c>
    </row>
    <row r="1461" spans="1:7" x14ac:dyDescent="0.3">
      <c r="A1461">
        <v>1460</v>
      </c>
      <c r="B1461">
        <v>978</v>
      </c>
      <c r="C1461" s="1">
        <v>45739</v>
      </c>
      <c r="D1461" t="s">
        <v>20</v>
      </c>
      <c r="E1461" t="s">
        <v>17</v>
      </c>
      <c r="F1461" t="s">
        <v>27</v>
      </c>
      <c r="G1461">
        <v>7</v>
      </c>
    </row>
    <row r="1462" spans="1:7" x14ac:dyDescent="0.3">
      <c r="A1462">
        <v>1461</v>
      </c>
      <c r="B1462">
        <v>978</v>
      </c>
      <c r="C1462" s="1">
        <v>45739</v>
      </c>
      <c r="D1462" t="s">
        <v>20</v>
      </c>
      <c r="E1462" t="s">
        <v>17</v>
      </c>
      <c r="F1462" t="s">
        <v>27</v>
      </c>
      <c r="G1462">
        <v>5</v>
      </c>
    </row>
    <row r="1463" spans="1:7" x14ac:dyDescent="0.3">
      <c r="A1463">
        <v>1462</v>
      </c>
      <c r="B1463">
        <v>979</v>
      </c>
      <c r="C1463" s="1">
        <v>45739</v>
      </c>
      <c r="D1463" t="s">
        <v>20</v>
      </c>
      <c r="E1463" t="s">
        <v>18</v>
      </c>
      <c r="F1463" t="s">
        <v>27</v>
      </c>
      <c r="G1463">
        <v>13</v>
      </c>
    </row>
    <row r="1464" spans="1:7" x14ac:dyDescent="0.3">
      <c r="A1464">
        <v>1463</v>
      </c>
      <c r="B1464">
        <v>979</v>
      </c>
      <c r="C1464" s="1">
        <v>45739</v>
      </c>
      <c r="D1464" t="s">
        <v>20</v>
      </c>
      <c r="E1464" t="s">
        <v>18</v>
      </c>
      <c r="F1464" t="s">
        <v>26</v>
      </c>
      <c r="G1464">
        <v>5</v>
      </c>
    </row>
    <row r="1465" spans="1:7" x14ac:dyDescent="0.3">
      <c r="A1465">
        <v>1464</v>
      </c>
      <c r="B1465">
        <v>979</v>
      </c>
      <c r="C1465" s="1">
        <v>45739</v>
      </c>
      <c r="D1465" t="s">
        <v>20</v>
      </c>
      <c r="E1465" t="s">
        <v>18</v>
      </c>
      <c r="F1465" t="s">
        <v>25</v>
      </c>
      <c r="G1465">
        <v>10</v>
      </c>
    </row>
    <row r="1466" spans="1:7" x14ac:dyDescent="0.3">
      <c r="A1466">
        <v>1465</v>
      </c>
      <c r="B1466">
        <v>980</v>
      </c>
      <c r="C1466" s="1">
        <v>45739</v>
      </c>
      <c r="D1466" t="s">
        <v>20</v>
      </c>
      <c r="E1466" t="s">
        <v>19</v>
      </c>
      <c r="F1466" t="s">
        <v>29</v>
      </c>
      <c r="G1466">
        <v>71</v>
      </c>
    </row>
    <row r="1467" spans="1:7" x14ac:dyDescent="0.3">
      <c r="A1467">
        <v>1466</v>
      </c>
      <c r="B1467">
        <v>981</v>
      </c>
      <c r="C1467" s="1">
        <v>45739</v>
      </c>
      <c r="D1467" t="s">
        <v>21</v>
      </c>
      <c r="E1467" t="s">
        <v>16</v>
      </c>
      <c r="F1467" t="s">
        <v>25</v>
      </c>
      <c r="G1467">
        <v>47</v>
      </c>
    </row>
    <row r="1468" spans="1:7" x14ac:dyDescent="0.3">
      <c r="A1468">
        <v>1467</v>
      </c>
      <c r="B1468">
        <v>982</v>
      </c>
      <c r="C1468" s="1">
        <v>45739</v>
      </c>
      <c r="D1468" t="s">
        <v>21</v>
      </c>
      <c r="E1468" t="s">
        <v>17</v>
      </c>
      <c r="F1468" t="s">
        <v>27</v>
      </c>
      <c r="G1468">
        <v>6</v>
      </c>
    </row>
    <row r="1469" spans="1:7" x14ac:dyDescent="0.3">
      <c r="A1469">
        <v>1468</v>
      </c>
      <c r="B1469">
        <v>982</v>
      </c>
      <c r="C1469" s="1">
        <v>45739</v>
      </c>
      <c r="D1469" t="s">
        <v>21</v>
      </c>
      <c r="E1469" t="s">
        <v>17</v>
      </c>
      <c r="F1469" t="s">
        <v>27</v>
      </c>
      <c r="G1469">
        <v>12</v>
      </c>
    </row>
    <row r="1470" spans="1:7" x14ac:dyDescent="0.3">
      <c r="A1470">
        <v>1469</v>
      </c>
      <c r="B1470">
        <v>983</v>
      </c>
      <c r="C1470" s="1">
        <v>45739</v>
      </c>
      <c r="D1470" t="s">
        <v>21</v>
      </c>
      <c r="E1470" t="s">
        <v>18</v>
      </c>
      <c r="F1470" t="s">
        <v>27</v>
      </c>
      <c r="G1470">
        <v>15</v>
      </c>
    </row>
    <row r="1471" spans="1:7" x14ac:dyDescent="0.3">
      <c r="A1471">
        <v>1470</v>
      </c>
      <c r="B1471">
        <v>984</v>
      </c>
      <c r="C1471" s="1">
        <v>45739</v>
      </c>
      <c r="D1471" t="s">
        <v>21</v>
      </c>
      <c r="E1471" t="s">
        <v>19</v>
      </c>
      <c r="F1471" t="s">
        <v>29</v>
      </c>
      <c r="G1471">
        <v>30</v>
      </c>
    </row>
    <row r="1472" spans="1:7" x14ac:dyDescent="0.3">
      <c r="A1472">
        <v>1471</v>
      </c>
      <c r="B1472">
        <v>984</v>
      </c>
      <c r="C1472" s="1">
        <v>45739</v>
      </c>
      <c r="D1472" t="s">
        <v>21</v>
      </c>
      <c r="E1472" t="s">
        <v>19</v>
      </c>
      <c r="F1472" t="s">
        <v>27</v>
      </c>
      <c r="G1472">
        <v>15</v>
      </c>
    </row>
    <row r="1473" spans="1:7" x14ac:dyDescent="0.3">
      <c r="A1473">
        <v>1472</v>
      </c>
      <c r="B1473">
        <v>985</v>
      </c>
      <c r="C1473" s="1">
        <v>45740</v>
      </c>
      <c r="D1473" t="s">
        <v>15</v>
      </c>
      <c r="E1473" t="s">
        <v>16</v>
      </c>
      <c r="F1473" t="s">
        <v>27</v>
      </c>
      <c r="G1473">
        <v>5</v>
      </c>
    </row>
    <row r="1474" spans="1:7" x14ac:dyDescent="0.3">
      <c r="A1474">
        <v>1473</v>
      </c>
      <c r="B1474">
        <v>986</v>
      </c>
      <c r="C1474" s="1">
        <v>45740</v>
      </c>
      <c r="D1474" t="s">
        <v>15</v>
      </c>
      <c r="E1474" t="s">
        <v>17</v>
      </c>
      <c r="F1474" t="s">
        <v>26</v>
      </c>
      <c r="G1474">
        <v>5</v>
      </c>
    </row>
    <row r="1475" spans="1:7" x14ac:dyDescent="0.3">
      <c r="A1475">
        <v>1474</v>
      </c>
      <c r="B1475">
        <v>987</v>
      </c>
      <c r="C1475" s="1">
        <v>45740</v>
      </c>
      <c r="D1475" t="s">
        <v>15</v>
      </c>
      <c r="E1475" t="s">
        <v>18</v>
      </c>
      <c r="F1475" t="s">
        <v>27</v>
      </c>
      <c r="G1475">
        <v>5</v>
      </c>
    </row>
    <row r="1476" spans="1:7" x14ac:dyDescent="0.3">
      <c r="A1476">
        <v>1475</v>
      </c>
      <c r="B1476">
        <v>987</v>
      </c>
      <c r="C1476" s="1">
        <v>45740</v>
      </c>
      <c r="D1476" t="s">
        <v>15</v>
      </c>
      <c r="E1476" t="s">
        <v>18</v>
      </c>
      <c r="F1476" t="s">
        <v>28</v>
      </c>
      <c r="G1476">
        <v>49</v>
      </c>
    </row>
    <row r="1477" spans="1:7" x14ac:dyDescent="0.3">
      <c r="A1477">
        <v>1476</v>
      </c>
      <c r="B1477">
        <v>989</v>
      </c>
      <c r="C1477" s="1">
        <v>45740</v>
      </c>
      <c r="D1477" t="s">
        <v>20</v>
      </c>
      <c r="E1477" t="s">
        <v>16</v>
      </c>
      <c r="F1477" t="s">
        <v>30</v>
      </c>
      <c r="G1477">
        <v>11</v>
      </c>
    </row>
    <row r="1478" spans="1:7" x14ac:dyDescent="0.3">
      <c r="A1478">
        <v>1477</v>
      </c>
      <c r="B1478">
        <v>989</v>
      </c>
      <c r="C1478" s="1">
        <v>45740</v>
      </c>
      <c r="D1478" t="s">
        <v>20</v>
      </c>
      <c r="E1478" t="s">
        <v>16</v>
      </c>
      <c r="F1478" t="s">
        <v>25</v>
      </c>
      <c r="G1478">
        <v>5</v>
      </c>
    </row>
    <row r="1479" spans="1:7" x14ac:dyDescent="0.3">
      <c r="A1479">
        <v>1478</v>
      </c>
      <c r="B1479">
        <v>990</v>
      </c>
      <c r="C1479" s="1">
        <v>45740</v>
      </c>
      <c r="D1479" t="s">
        <v>20</v>
      </c>
      <c r="E1479" t="s">
        <v>17</v>
      </c>
      <c r="F1479" t="s">
        <v>25</v>
      </c>
      <c r="G1479">
        <v>52</v>
      </c>
    </row>
    <row r="1480" spans="1:7" x14ac:dyDescent="0.3">
      <c r="A1480">
        <v>1479</v>
      </c>
      <c r="B1480">
        <v>991</v>
      </c>
      <c r="C1480" s="1">
        <v>45740</v>
      </c>
      <c r="D1480" t="s">
        <v>20</v>
      </c>
      <c r="E1480" t="s">
        <v>18</v>
      </c>
      <c r="F1480" t="s">
        <v>26</v>
      </c>
      <c r="G1480">
        <v>105</v>
      </c>
    </row>
    <row r="1481" spans="1:7" x14ac:dyDescent="0.3">
      <c r="A1481">
        <v>1480</v>
      </c>
      <c r="B1481">
        <v>992</v>
      </c>
      <c r="C1481" s="1">
        <v>45740</v>
      </c>
      <c r="D1481" t="s">
        <v>20</v>
      </c>
      <c r="E1481" t="s">
        <v>19</v>
      </c>
      <c r="F1481" t="s">
        <v>25</v>
      </c>
      <c r="G1481">
        <v>78</v>
      </c>
    </row>
    <row r="1482" spans="1:7" x14ac:dyDescent="0.3">
      <c r="A1482">
        <v>1481</v>
      </c>
      <c r="B1482">
        <v>993</v>
      </c>
      <c r="C1482" s="1">
        <v>45740</v>
      </c>
      <c r="D1482" t="s">
        <v>21</v>
      </c>
      <c r="E1482" t="s">
        <v>16</v>
      </c>
      <c r="F1482" t="s">
        <v>25</v>
      </c>
      <c r="G1482">
        <v>56</v>
      </c>
    </row>
    <row r="1483" spans="1:7" x14ac:dyDescent="0.3">
      <c r="A1483">
        <v>1482</v>
      </c>
      <c r="B1483">
        <v>994</v>
      </c>
      <c r="C1483" s="1">
        <v>45740</v>
      </c>
      <c r="D1483" t="s">
        <v>21</v>
      </c>
      <c r="E1483" t="s">
        <v>17</v>
      </c>
      <c r="F1483" t="s">
        <v>27</v>
      </c>
      <c r="G1483">
        <v>9</v>
      </c>
    </row>
    <row r="1484" spans="1:7" x14ac:dyDescent="0.3">
      <c r="A1484">
        <v>1483</v>
      </c>
      <c r="B1484">
        <v>995</v>
      </c>
      <c r="C1484" s="1">
        <v>45740</v>
      </c>
      <c r="D1484" t="s">
        <v>21</v>
      </c>
      <c r="E1484" t="s">
        <v>18</v>
      </c>
      <c r="F1484" t="s">
        <v>27</v>
      </c>
      <c r="G1484">
        <v>5</v>
      </c>
    </row>
    <row r="1485" spans="1:7" x14ac:dyDescent="0.3">
      <c r="A1485">
        <v>1484</v>
      </c>
      <c r="B1485">
        <v>995</v>
      </c>
      <c r="C1485" s="1">
        <v>45740</v>
      </c>
      <c r="D1485" t="s">
        <v>21</v>
      </c>
      <c r="E1485" t="s">
        <v>18</v>
      </c>
      <c r="F1485" t="s">
        <v>25</v>
      </c>
      <c r="G1485">
        <v>5</v>
      </c>
    </row>
    <row r="1486" spans="1:7" x14ac:dyDescent="0.3">
      <c r="A1486">
        <v>1485</v>
      </c>
      <c r="B1486">
        <v>996</v>
      </c>
      <c r="C1486" s="1">
        <v>45740</v>
      </c>
      <c r="D1486" t="s">
        <v>21</v>
      </c>
      <c r="E1486" t="s">
        <v>19</v>
      </c>
      <c r="F1486" t="s">
        <v>25</v>
      </c>
      <c r="G1486">
        <v>45</v>
      </c>
    </row>
    <row r="1487" spans="1:7" x14ac:dyDescent="0.3">
      <c r="A1487">
        <v>1486</v>
      </c>
      <c r="B1487">
        <v>997</v>
      </c>
      <c r="C1487" s="1">
        <v>45741</v>
      </c>
      <c r="D1487" t="s">
        <v>15</v>
      </c>
      <c r="E1487" t="s">
        <v>16</v>
      </c>
      <c r="F1487" t="s">
        <v>26</v>
      </c>
      <c r="G1487">
        <v>24</v>
      </c>
    </row>
    <row r="1488" spans="1:7" x14ac:dyDescent="0.3">
      <c r="A1488">
        <v>1487</v>
      </c>
      <c r="B1488">
        <v>999</v>
      </c>
      <c r="C1488" s="1">
        <v>45741</v>
      </c>
      <c r="D1488" t="s">
        <v>15</v>
      </c>
      <c r="E1488" t="s">
        <v>18</v>
      </c>
      <c r="F1488" t="s">
        <v>29</v>
      </c>
      <c r="G1488">
        <v>170</v>
      </c>
    </row>
    <row r="1489" spans="1:7" x14ac:dyDescent="0.3">
      <c r="A1489">
        <v>1488</v>
      </c>
      <c r="B1489">
        <v>1000</v>
      </c>
      <c r="C1489" s="1">
        <v>45741</v>
      </c>
      <c r="D1489" t="s">
        <v>15</v>
      </c>
      <c r="E1489" t="s">
        <v>19</v>
      </c>
      <c r="F1489" t="s">
        <v>27</v>
      </c>
      <c r="G1489">
        <v>9</v>
      </c>
    </row>
    <row r="1490" spans="1:7" x14ac:dyDescent="0.3">
      <c r="A1490">
        <v>1489</v>
      </c>
      <c r="B1490">
        <v>1001</v>
      </c>
      <c r="C1490" s="1">
        <v>45741</v>
      </c>
      <c r="D1490" t="s">
        <v>20</v>
      </c>
      <c r="E1490" t="s">
        <v>16</v>
      </c>
      <c r="F1490" t="s">
        <v>30</v>
      </c>
      <c r="G1490">
        <v>15</v>
      </c>
    </row>
    <row r="1491" spans="1:7" x14ac:dyDescent="0.3">
      <c r="A1491">
        <v>1490</v>
      </c>
      <c r="B1491">
        <v>1002</v>
      </c>
      <c r="C1491" s="1">
        <v>45741</v>
      </c>
      <c r="D1491" t="s">
        <v>20</v>
      </c>
      <c r="E1491" t="s">
        <v>17</v>
      </c>
      <c r="F1491" t="s">
        <v>29</v>
      </c>
      <c r="G1491">
        <v>17</v>
      </c>
    </row>
    <row r="1492" spans="1:7" x14ac:dyDescent="0.3">
      <c r="A1492">
        <v>1491</v>
      </c>
      <c r="B1492">
        <v>1003</v>
      </c>
      <c r="C1492" s="1">
        <v>45741</v>
      </c>
      <c r="D1492" t="s">
        <v>20</v>
      </c>
      <c r="E1492" t="s">
        <v>18</v>
      </c>
      <c r="F1492" t="s">
        <v>29</v>
      </c>
      <c r="G1492">
        <v>14</v>
      </c>
    </row>
    <row r="1493" spans="1:7" x14ac:dyDescent="0.3">
      <c r="A1493">
        <v>1492</v>
      </c>
      <c r="B1493">
        <v>1004</v>
      </c>
      <c r="C1493" s="1">
        <v>45741</v>
      </c>
      <c r="D1493" t="s">
        <v>20</v>
      </c>
      <c r="E1493" t="s">
        <v>19</v>
      </c>
      <c r="F1493" t="s">
        <v>27</v>
      </c>
      <c r="G1493">
        <v>22</v>
      </c>
    </row>
    <row r="1494" spans="1:7" x14ac:dyDescent="0.3">
      <c r="A1494">
        <v>1493</v>
      </c>
      <c r="B1494">
        <v>1005</v>
      </c>
      <c r="C1494" s="1">
        <v>45741</v>
      </c>
      <c r="D1494" t="s">
        <v>21</v>
      </c>
      <c r="E1494" t="s">
        <v>16</v>
      </c>
      <c r="F1494" t="s">
        <v>27</v>
      </c>
      <c r="G1494">
        <v>8</v>
      </c>
    </row>
    <row r="1495" spans="1:7" x14ac:dyDescent="0.3">
      <c r="A1495">
        <v>1494</v>
      </c>
      <c r="B1495">
        <v>1005</v>
      </c>
      <c r="C1495" s="1">
        <v>45741</v>
      </c>
      <c r="D1495" t="s">
        <v>21</v>
      </c>
      <c r="E1495" t="s">
        <v>16</v>
      </c>
      <c r="F1495" t="s">
        <v>27</v>
      </c>
      <c r="G1495">
        <v>39</v>
      </c>
    </row>
    <row r="1496" spans="1:7" x14ac:dyDescent="0.3">
      <c r="A1496">
        <v>1495</v>
      </c>
      <c r="B1496">
        <v>1006</v>
      </c>
      <c r="C1496" s="1">
        <v>45741</v>
      </c>
      <c r="D1496" t="s">
        <v>21</v>
      </c>
      <c r="E1496" t="s">
        <v>17</v>
      </c>
      <c r="F1496" t="s">
        <v>26</v>
      </c>
      <c r="G1496">
        <v>23</v>
      </c>
    </row>
    <row r="1497" spans="1:7" x14ac:dyDescent="0.3">
      <c r="A1497">
        <v>1496</v>
      </c>
      <c r="B1497">
        <v>1008</v>
      </c>
      <c r="C1497" s="1">
        <v>45741</v>
      </c>
      <c r="D1497" t="s">
        <v>21</v>
      </c>
      <c r="E1497" t="s">
        <v>19</v>
      </c>
      <c r="F1497" t="s">
        <v>26</v>
      </c>
      <c r="G1497">
        <v>79</v>
      </c>
    </row>
    <row r="1498" spans="1:7" x14ac:dyDescent="0.3">
      <c r="A1498">
        <v>1497</v>
      </c>
      <c r="B1498">
        <v>1010</v>
      </c>
      <c r="C1498" s="1">
        <v>45742</v>
      </c>
      <c r="D1498" t="s">
        <v>15</v>
      </c>
      <c r="E1498" t="s">
        <v>17</v>
      </c>
      <c r="F1498" t="s">
        <v>30</v>
      </c>
      <c r="G1498">
        <v>5</v>
      </c>
    </row>
    <row r="1499" spans="1:7" x14ac:dyDescent="0.3">
      <c r="A1499">
        <v>1498</v>
      </c>
      <c r="B1499">
        <v>1010</v>
      </c>
      <c r="C1499" s="1">
        <v>45742</v>
      </c>
      <c r="D1499" t="s">
        <v>15</v>
      </c>
      <c r="E1499" t="s">
        <v>17</v>
      </c>
      <c r="F1499" t="s">
        <v>27</v>
      </c>
      <c r="G1499">
        <v>14</v>
      </c>
    </row>
    <row r="1500" spans="1:7" x14ac:dyDescent="0.3">
      <c r="A1500">
        <v>1499</v>
      </c>
      <c r="B1500">
        <v>1011</v>
      </c>
      <c r="C1500" s="1">
        <v>45742</v>
      </c>
      <c r="D1500" t="s">
        <v>15</v>
      </c>
      <c r="E1500" t="s">
        <v>18</v>
      </c>
      <c r="F1500" t="s">
        <v>27</v>
      </c>
      <c r="G1500">
        <v>15</v>
      </c>
    </row>
    <row r="1501" spans="1:7" x14ac:dyDescent="0.3">
      <c r="A1501">
        <v>1500</v>
      </c>
      <c r="B1501">
        <v>1013</v>
      </c>
      <c r="C1501" s="1">
        <v>45742</v>
      </c>
      <c r="D1501" t="s">
        <v>20</v>
      </c>
      <c r="E1501" t="s">
        <v>16</v>
      </c>
      <c r="F1501" t="s">
        <v>27</v>
      </c>
      <c r="G1501">
        <v>10</v>
      </c>
    </row>
    <row r="1502" spans="1:7" x14ac:dyDescent="0.3">
      <c r="A1502">
        <v>1501</v>
      </c>
      <c r="B1502">
        <v>1013</v>
      </c>
      <c r="C1502" s="1">
        <v>45742</v>
      </c>
      <c r="D1502" t="s">
        <v>20</v>
      </c>
      <c r="E1502" t="s">
        <v>16</v>
      </c>
      <c r="F1502" t="s">
        <v>25</v>
      </c>
      <c r="G1502">
        <v>5</v>
      </c>
    </row>
    <row r="1503" spans="1:7" x14ac:dyDescent="0.3">
      <c r="A1503">
        <v>1502</v>
      </c>
      <c r="B1503">
        <v>1013</v>
      </c>
      <c r="C1503" s="1">
        <v>45742</v>
      </c>
      <c r="D1503" t="s">
        <v>20</v>
      </c>
      <c r="E1503" t="s">
        <v>16</v>
      </c>
      <c r="F1503" t="s">
        <v>27</v>
      </c>
      <c r="G1503">
        <v>90</v>
      </c>
    </row>
    <row r="1504" spans="1:7" x14ac:dyDescent="0.3">
      <c r="A1504">
        <v>1503</v>
      </c>
      <c r="B1504">
        <v>1013</v>
      </c>
      <c r="C1504" s="1">
        <v>45742</v>
      </c>
      <c r="D1504" t="s">
        <v>20</v>
      </c>
      <c r="E1504" t="s">
        <v>16</v>
      </c>
      <c r="F1504" t="s">
        <v>25</v>
      </c>
      <c r="G1504">
        <v>5</v>
      </c>
    </row>
    <row r="1505" spans="1:7" x14ac:dyDescent="0.3">
      <c r="A1505">
        <v>1504</v>
      </c>
      <c r="B1505">
        <v>1014</v>
      </c>
      <c r="C1505" s="1">
        <v>45742</v>
      </c>
      <c r="D1505" t="s">
        <v>20</v>
      </c>
      <c r="E1505" t="s">
        <v>17</v>
      </c>
      <c r="F1505" t="s">
        <v>27</v>
      </c>
      <c r="G1505">
        <v>19</v>
      </c>
    </row>
    <row r="1506" spans="1:7" x14ac:dyDescent="0.3">
      <c r="A1506">
        <v>1505</v>
      </c>
      <c r="B1506">
        <v>1014</v>
      </c>
      <c r="C1506" s="1">
        <v>45742</v>
      </c>
      <c r="D1506" t="s">
        <v>20</v>
      </c>
      <c r="E1506" t="s">
        <v>17</v>
      </c>
      <c r="F1506" t="s">
        <v>27</v>
      </c>
      <c r="G1506">
        <v>5</v>
      </c>
    </row>
    <row r="1507" spans="1:7" x14ac:dyDescent="0.3">
      <c r="A1507">
        <v>1506</v>
      </c>
      <c r="B1507">
        <v>1014</v>
      </c>
      <c r="C1507" s="1">
        <v>45742</v>
      </c>
      <c r="D1507" t="s">
        <v>20</v>
      </c>
      <c r="E1507" t="s">
        <v>17</v>
      </c>
      <c r="F1507" t="s">
        <v>27</v>
      </c>
      <c r="G1507">
        <v>15</v>
      </c>
    </row>
    <row r="1508" spans="1:7" x14ac:dyDescent="0.3">
      <c r="A1508">
        <v>1507</v>
      </c>
      <c r="B1508">
        <v>1014</v>
      </c>
      <c r="C1508" s="1">
        <v>45742</v>
      </c>
      <c r="D1508" t="s">
        <v>20</v>
      </c>
      <c r="E1508" t="s">
        <v>17</v>
      </c>
      <c r="F1508" t="s">
        <v>30</v>
      </c>
      <c r="G1508">
        <v>19</v>
      </c>
    </row>
    <row r="1509" spans="1:7" x14ac:dyDescent="0.3">
      <c r="A1509">
        <v>1508</v>
      </c>
      <c r="B1509">
        <v>1015</v>
      </c>
      <c r="C1509" s="1">
        <v>45742</v>
      </c>
      <c r="D1509" t="s">
        <v>20</v>
      </c>
      <c r="E1509" t="s">
        <v>18</v>
      </c>
      <c r="F1509" t="s">
        <v>30</v>
      </c>
      <c r="G1509">
        <v>5</v>
      </c>
    </row>
    <row r="1510" spans="1:7" x14ac:dyDescent="0.3">
      <c r="A1510">
        <v>1509</v>
      </c>
      <c r="B1510">
        <v>1015</v>
      </c>
      <c r="C1510" s="1">
        <v>45742</v>
      </c>
      <c r="D1510" t="s">
        <v>20</v>
      </c>
      <c r="E1510" t="s">
        <v>18</v>
      </c>
      <c r="F1510" t="s">
        <v>27</v>
      </c>
      <c r="G1510">
        <v>15</v>
      </c>
    </row>
    <row r="1511" spans="1:7" x14ac:dyDescent="0.3">
      <c r="A1511">
        <v>1510</v>
      </c>
      <c r="B1511">
        <v>1015</v>
      </c>
      <c r="C1511" s="1">
        <v>45742</v>
      </c>
      <c r="D1511" t="s">
        <v>20</v>
      </c>
      <c r="E1511" t="s">
        <v>18</v>
      </c>
      <c r="F1511" t="s">
        <v>25</v>
      </c>
      <c r="G1511">
        <v>61</v>
      </c>
    </row>
    <row r="1512" spans="1:7" x14ac:dyDescent="0.3">
      <c r="A1512">
        <v>1511</v>
      </c>
      <c r="B1512">
        <v>1015</v>
      </c>
      <c r="C1512" s="1">
        <v>45742</v>
      </c>
      <c r="D1512" t="s">
        <v>20</v>
      </c>
      <c r="E1512" t="s">
        <v>18</v>
      </c>
      <c r="F1512" t="s">
        <v>25</v>
      </c>
      <c r="G1512">
        <v>8</v>
      </c>
    </row>
    <row r="1513" spans="1:7" x14ac:dyDescent="0.3">
      <c r="A1513">
        <v>1512</v>
      </c>
      <c r="B1513">
        <v>1016</v>
      </c>
      <c r="C1513" s="1">
        <v>45742</v>
      </c>
      <c r="D1513" t="s">
        <v>20</v>
      </c>
      <c r="E1513" t="s">
        <v>19</v>
      </c>
      <c r="F1513" t="s">
        <v>25</v>
      </c>
      <c r="G1513">
        <v>5</v>
      </c>
    </row>
    <row r="1514" spans="1:7" x14ac:dyDescent="0.3">
      <c r="A1514">
        <v>1513</v>
      </c>
      <c r="B1514">
        <v>1016</v>
      </c>
      <c r="C1514" s="1">
        <v>45742</v>
      </c>
      <c r="D1514" t="s">
        <v>20</v>
      </c>
      <c r="E1514" t="s">
        <v>19</v>
      </c>
      <c r="F1514" t="s">
        <v>27</v>
      </c>
      <c r="G1514">
        <v>22</v>
      </c>
    </row>
    <row r="1515" spans="1:7" x14ac:dyDescent="0.3">
      <c r="A1515">
        <v>1514</v>
      </c>
      <c r="B1515">
        <v>1016</v>
      </c>
      <c r="C1515" s="1">
        <v>45742</v>
      </c>
      <c r="D1515" t="s">
        <v>20</v>
      </c>
      <c r="E1515" t="s">
        <v>19</v>
      </c>
      <c r="F1515" t="s">
        <v>27</v>
      </c>
      <c r="G1515">
        <v>26</v>
      </c>
    </row>
    <row r="1516" spans="1:7" x14ac:dyDescent="0.3">
      <c r="A1516">
        <v>1515</v>
      </c>
      <c r="B1516">
        <v>1018</v>
      </c>
      <c r="C1516" s="1">
        <v>45742</v>
      </c>
      <c r="D1516" t="s">
        <v>21</v>
      </c>
      <c r="E1516" t="s">
        <v>17</v>
      </c>
      <c r="F1516" t="s">
        <v>28</v>
      </c>
      <c r="G1516">
        <v>14</v>
      </c>
    </row>
    <row r="1517" spans="1:7" x14ac:dyDescent="0.3">
      <c r="A1517">
        <v>1516</v>
      </c>
      <c r="B1517">
        <v>1019</v>
      </c>
      <c r="C1517" s="1">
        <v>45742</v>
      </c>
      <c r="D1517" t="s">
        <v>21</v>
      </c>
      <c r="E1517" t="s">
        <v>18</v>
      </c>
      <c r="F1517" t="s">
        <v>25</v>
      </c>
      <c r="G1517">
        <v>39</v>
      </c>
    </row>
    <row r="1518" spans="1:7" x14ac:dyDescent="0.3">
      <c r="A1518">
        <v>1517</v>
      </c>
      <c r="B1518">
        <v>1020</v>
      </c>
      <c r="C1518" s="1">
        <v>45742</v>
      </c>
      <c r="D1518" t="s">
        <v>21</v>
      </c>
      <c r="E1518" t="s">
        <v>19</v>
      </c>
      <c r="F1518" t="s">
        <v>26</v>
      </c>
      <c r="G1518">
        <v>12</v>
      </c>
    </row>
    <row r="1519" spans="1:7" x14ac:dyDescent="0.3">
      <c r="A1519">
        <v>1518</v>
      </c>
      <c r="B1519">
        <v>1022</v>
      </c>
      <c r="C1519" s="1">
        <v>45743</v>
      </c>
      <c r="D1519" t="s">
        <v>15</v>
      </c>
      <c r="E1519" t="s">
        <v>17</v>
      </c>
      <c r="F1519" t="s">
        <v>25</v>
      </c>
      <c r="G1519">
        <v>61</v>
      </c>
    </row>
    <row r="1520" spans="1:7" x14ac:dyDescent="0.3">
      <c r="A1520">
        <v>1519</v>
      </c>
      <c r="B1520">
        <v>1023</v>
      </c>
      <c r="C1520" s="1">
        <v>45743</v>
      </c>
      <c r="D1520" t="s">
        <v>15</v>
      </c>
      <c r="E1520" t="s">
        <v>18</v>
      </c>
      <c r="F1520" t="s">
        <v>26</v>
      </c>
      <c r="G1520">
        <v>21</v>
      </c>
    </row>
    <row r="1521" spans="1:7" x14ac:dyDescent="0.3">
      <c r="A1521">
        <v>1520</v>
      </c>
      <c r="B1521">
        <v>1023</v>
      </c>
      <c r="C1521" s="1">
        <v>45743</v>
      </c>
      <c r="D1521" t="s">
        <v>15</v>
      </c>
      <c r="E1521" t="s">
        <v>18</v>
      </c>
      <c r="F1521" t="s">
        <v>26</v>
      </c>
      <c r="G1521">
        <v>66</v>
      </c>
    </row>
    <row r="1522" spans="1:7" x14ac:dyDescent="0.3">
      <c r="A1522">
        <v>1521</v>
      </c>
      <c r="B1522">
        <v>1024</v>
      </c>
      <c r="C1522" s="1">
        <v>45743</v>
      </c>
      <c r="D1522" t="s">
        <v>15</v>
      </c>
      <c r="E1522" t="s">
        <v>19</v>
      </c>
      <c r="F1522" t="s">
        <v>25</v>
      </c>
      <c r="G1522">
        <v>184</v>
      </c>
    </row>
    <row r="1523" spans="1:7" x14ac:dyDescent="0.3">
      <c r="A1523">
        <v>1522</v>
      </c>
      <c r="B1523">
        <v>1024</v>
      </c>
      <c r="C1523" s="1">
        <v>45743</v>
      </c>
      <c r="D1523" t="s">
        <v>15</v>
      </c>
      <c r="E1523" t="s">
        <v>19</v>
      </c>
      <c r="F1523" t="s">
        <v>26</v>
      </c>
      <c r="G1523">
        <v>5</v>
      </c>
    </row>
    <row r="1524" spans="1:7" x14ac:dyDescent="0.3">
      <c r="A1524">
        <v>1523</v>
      </c>
      <c r="B1524">
        <v>1026</v>
      </c>
      <c r="C1524" s="1">
        <v>45743</v>
      </c>
      <c r="D1524" t="s">
        <v>20</v>
      </c>
      <c r="E1524" t="s">
        <v>17</v>
      </c>
      <c r="F1524" t="s">
        <v>25</v>
      </c>
      <c r="G1524">
        <v>8</v>
      </c>
    </row>
    <row r="1525" spans="1:7" x14ac:dyDescent="0.3">
      <c r="A1525">
        <v>1524</v>
      </c>
      <c r="B1525">
        <v>1029</v>
      </c>
      <c r="C1525" s="1">
        <v>45743</v>
      </c>
      <c r="D1525" t="s">
        <v>21</v>
      </c>
      <c r="E1525" t="s">
        <v>16</v>
      </c>
      <c r="F1525" t="s">
        <v>27</v>
      </c>
      <c r="G1525">
        <v>20</v>
      </c>
    </row>
    <row r="1526" spans="1:7" x14ac:dyDescent="0.3">
      <c r="A1526">
        <v>1525</v>
      </c>
      <c r="B1526">
        <v>1029</v>
      </c>
      <c r="C1526" s="1">
        <v>45743</v>
      </c>
      <c r="D1526" t="s">
        <v>21</v>
      </c>
      <c r="E1526" t="s">
        <v>16</v>
      </c>
      <c r="F1526" t="s">
        <v>25</v>
      </c>
      <c r="G1526">
        <v>43</v>
      </c>
    </row>
    <row r="1527" spans="1:7" x14ac:dyDescent="0.3">
      <c r="A1527">
        <v>1526</v>
      </c>
      <c r="B1527">
        <v>1029</v>
      </c>
      <c r="C1527" s="1">
        <v>45743</v>
      </c>
      <c r="D1527" t="s">
        <v>21</v>
      </c>
      <c r="E1527" t="s">
        <v>16</v>
      </c>
      <c r="F1527" t="s">
        <v>30</v>
      </c>
      <c r="G1527">
        <v>10</v>
      </c>
    </row>
    <row r="1528" spans="1:7" x14ac:dyDescent="0.3">
      <c r="A1528">
        <v>1527</v>
      </c>
      <c r="B1528">
        <v>1029</v>
      </c>
      <c r="C1528" s="1">
        <v>45743</v>
      </c>
      <c r="D1528" t="s">
        <v>21</v>
      </c>
      <c r="E1528" t="s">
        <v>16</v>
      </c>
      <c r="F1528" t="s">
        <v>27</v>
      </c>
      <c r="G1528">
        <v>6</v>
      </c>
    </row>
    <row r="1529" spans="1:7" x14ac:dyDescent="0.3">
      <c r="A1529">
        <v>1528</v>
      </c>
      <c r="B1529">
        <v>1030</v>
      </c>
      <c r="C1529" s="1">
        <v>45743</v>
      </c>
      <c r="D1529" t="s">
        <v>21</v>
      </c>
      <c r="E1529" t="s">
        <v>17</v>
      </c>
      <c r="F1529" t="s">
        <v>29</v>
      </c>
      <c r="G1529">
        <v>18</v>
      </c>
    </row>
    <row r="1530" spans="1:7" x14ac:dyDescent="0.3">
      <c r="A1530">
        <v>1529</v>
      </c>
      <c r="B1530">
        <v>1030</v>
      </c>
      <c r="C1530" s="1">
        <v>45743</v>
      </c>
      <c r="D1530" t="s">
        <v>21</v>
      </c>
      <c r="E1530" t="s">
        <v>17</v>
      </c>
      <c r="F1530" t="s">
        <v>27</v>
      </c>
      <c r="G1530">
        <v>17</v>
      </c>
    </row>
    <row r="1531" spans="1:7" x14ac:dyDescent="0.3">
      <c r="A1531">
        <v>1530</v>
      </c>
      <c r="B1531">
        <v>1030</v>
      </c>
      <c r="C1531" s="1">
        <v>45743</v>
      </c>
      <c r="D1531" t="s">
        <v>21</v>
      </c>
      <c r="E1531" t="s">
        <v>17</v>
      </c>
      <c r="F1531" t="s">
        <v>26</v>
      </c>
      <c r="G1531">
        <v>100</v>
      </c>
    </row>
    <row r="1532" spans="1:7" x14ac:dyDescent="0.3">
      <c r="A1532">
        <v>1531</v>
      </c>
      <c r="B1532">
        <v>1031</v>
      </c>
      <c r="C1532" s="1">
        <v>45743</v>
      </c>
      <c r="D1532" t="s">
        <v>21</v>
      </c>
      <c r="E1532" t="s">
        <v>18</v>
      </c>
      <c r="F1532" t="s">
        <v>25</v>
      </c>
      <c r="G1532">
        <v>65</v>
      </c>
    </row>
    <row r="1533" spans="1:7" x14ac:dyDescent="0.3">
      <c r="A1533">
        <v>1532</v>
      </c>
      <c r="B1533">
        <v>1031</v>
      </c>
      <c r="C1533" s="1">
        <v>45743</v>
      </c>
      <c r="D1533" t="s">
        <v>21</v>
      </c>
      <c r="E1533" t="s">
        <v>18</v>
      </c>
      <c r="F1533" t="s">
        <v>26</v>
      </c>
      <c r="G1533">
        <v>11</v>
      </c>
    </row>
    <row r="1534" spans="1:7" x14ac:dyDescent="0.3">
      <c r="A1534">
        <v>1533</v>
      </c>
      <c r="B1534">
        <v>1031</v>
      </c>
      <c r="C1534" s="1">
        <v>45743</v>
      </c>
      <c r="D1534" t="s">
        <v>21</v>
      </c>
      <c r="E1534" t="s">
        <v>18</v>
      </c>
      <c r="F1534" t="s">
        <v>25</v>
      </c>
      <c r="G1534">
        <v>81</v>
      </c>
    </row>
    <row r="1535" spans="1:7" x14ac:dyDescent="0.3">
      <c r="A1535">
        <v>1534</v>
      </c>
      <c r="B1535">
        <v>1032</v>
      </c>
      <c r="C1535" s="1">
        <v>45743</v>
      </c>
      <c r="D1535" t="s">
        <v>21</v>
      </c>
      <c r="E1535" t="s">
        <v>19</v>
      </c>
      <c r="F1535" t="s">
        <v>28</v>
      </c>
      <c r="G1535">
        <v>68</v>
      </c>
    </row>
    <row r="1536" spans="1:7" x14ac:dyDescent="0.3">
      <c r="A1536">
        <v>1535</v>
      </c>
      <c r="B1536">
        <v>1033</v>
      </c>
      <c r="C1536" s="1">
        <v>45744</v>
      </c>
      <c r="D1536" t="s">
        <v>15</v>
      </c>
      <c r="E1536" t="s">
        <v>16</v>
      </c>
      <c r="F1536" t="s">
        <v>28</v>
      </c>
      <c r="G1536">
        <v>83</v>
      </c>
    </row>
    <row r="1537" spans="1:7" x14ac:dyDescent="0.3">
      <c r="A1537">
        <v>1536</v>
      </c>
      <c r="B1537">
        <v>1035</v>
      </c>
      <c r="C1537" s="1">
        <v>45744</v>
      </c>
      <c r="D1537" t="s">
        <v>15</v>
      </c>
      <c r="E1537" t="s">
        <v>18</v>
      </c>
      <c r="F1537" t="s">
        <v>27</v>
      </c>
      <c r="G1537">
        <v>5</v>
      </c>
    </row>
    <row r="1538" spans="1:7" x14ac:dyDescent="0.3">
      <c r="A1538">
        <v>1537</v>
      </c>
      <c r="B1538">
        <v>1035</v>
      </c>
      <c r="C1538" s="1">
        <v>45744</v>
      </c>
      <c r="D1538" t="s">
        <v>15</v>
      </c>
      <c r="E1538" t="s">
        <v>18</v>
      </c>
      <c r="F1538" t="s">
        <v>27</v>
      </c>
      <c r="G1538">
        <v>5</v>
      </c>
    </row>
    <row r="1539" spans="1:7" x14ac:dyDescent="0.3">
      <c r="A1539">
        <v>1538</v>
      </c>
      <c r="B1539">
        <v>1035</v>
      </c>
      <c r="C1539" s="1">
        <v>45744</v>
      </c>
      <c r="D1539" t="s">
        <v>15</v>
      </c>
      <c r="E1539" t="s">
        <v>18</v>
      </c>
      <c r="F1539" t="s">
        <v>28</v>
      </c>
      <c r="G1539">
        <v>15</v>
      </c>
    </row>
    <row r="1540" spans="1:7" x14ac:dyDescent="0.3">
      <c r="A1540">
        <v>1539</v>
      </c>
      <c r="B1540">
        <v>1036</v>
      </c>
      <c r="C1540" s="1">
        <v>45744</v>
      </c>
      <c r="D1540" t="s">
        <v>15</v>
      </c>
      <c r="E1540" t="s">
        <v>19</v>
      </c>
      <c r="F1540" t="s">
        <v>26</v>
      </c>
      <c r="G1540">
        <v>70</v>
      </c>
    </row>
    <row r="1541" spans="1:7" x14ac:dyDescent="0.3">
      <c r="A1541">
        <v>1540</v>
      </c>
      <c r="B1541">
        <v>1036</v>
      </c>
      <c r="C1541" s="1">
        <v>45744</v>
      </c>
      <c r="D1541" t="s">
        <v>15</v>
      </c>
      <c r="E1541" t="s">
        <v>19</v>
      </c>
      <c r="F1541" t="s">
        <v>25</v>
      </c>
      <c r="G1541">
        <v>5</v>
      </c>
    </row>
    <row r="1542" spans="1:7" x14ac:dyDescent="0.3">
      <c r="A1542">
        <v>1541</v>
      </c>
      <c r="B1542">
        <v>1036</v>
      </c>
      <c r="C1542" s="1">
        <v>45744</v>
      </c>
      <c r="D1542" t="s">
        <v>15</v>
      </c>
      <c r="E1542" t="s">
        <v>19</v>
      </c>
      <c r="F1542" t="s">
        <v>27</v>
      </c>
      <c r="G1542">
        <v>54</v>
      </c>
    </row>
    <row r="1543" spans="1:7" x14ac:dyDescent="0.3">
      <c r="A1543">
        <v>1542</v>
      </c>
      <c r="B1543">
        <v>1040</v>
      </c>
      <c r="C1543" s="1">
        <v>45744</v>
      </c>
      <c r="D1543" t="s">
        <v>20</v>
      </c>
      <c r="E1543" t="s">
        <v>19</v>
      </c>
      <c r="F1543" t="s">
        <v>26</v>
      </c>
      <c r="G1543">
        <v>10</v>
      </c>
    </row>
    <row r="1544" spans="1:7" x14ac:dyDescent="0.3">
      <c r="A1544">
        <v>1543</v>
      </c>
      <c r="B1544">
        <v>1042</v>
      </c>
      <c r="C1544" s="1">
        <v>45744</v>
      </c>
      <c r="D1544" t="s">
        <v>21</v>
      </c>
      <c r="E1544" t="s">
        <v>17</v>
      </c>
      <c r="F1544" t="s">
        <v>26</v>
      </c>
      <c r="G1544">
        <v>5</v>
      </c>
    </row>
    <row r="1545" spans="1:7" x14ac:dyDescent="0.3">
      <c r="A1545">
        <v>1544</v>
      </c>
      <c r="B1545">
        <v>1043</v>
      </c>
      <c r="C1545" s="1">
        <v>45744</v>
      </c>
      <c r="D1545" t="s">
        <v>21</v>
      </c>
      <c r="E1545" t="s">
        <v>18</v>
      </c>
      <c r="F1545" t="s">
        <v>29</v>
      </c>
      <c r="G1545">
        <v>55</v>
      </c>
    </row>
    <row r="1546" spans="1:7" x14ac:dyDescent="0.3">
      <c r="A1546">
        <v>1545</v>
      </c>
      <c r="B1546">
        <v>1045</v>
      </c>
      <c r="C1546" s="1">
        <v>45745</v>
      </c>
      <c r="D1546" t="s">
        <v>15</v>
      </c>
      <c r="E1546" t="s">
        <v>16</v>
      </c>
      <c r="F1546" t="s">
        <v>27</v>
      </c>
      <c r="G1546">
        <v>5</v>
      </c>
    </row>
    <row r="1547" spans="1:7" x14ac:dyDescent="0.3">
      <c r="A1547">
        <v>1546</v>
      </c>
      <c r="B1547">
        <v>1045</v>
      </c>
      <c r="C1547" s="1">
        <v>45745</v>
      </c>
      <c r="D1547" t="s">
        <v>15</v>
      </c>
      <c r="E1547" t="s">
        <v>16</v>
      </c>
      <c r="F1547" t="s">
        <v>26</v>
      </c>
      <c r="G1547">
        <v>21</v>
      </c>
    </row>
    <row r="1548" spans="1:7" x14ac:dyDescent="0.3">
      <c r="A1548">
        <v>1547</v>
      </c>
      <c r="B1548">
        <v>1046</v>
      </c>
      <c r="C1548" s="1">
        <v>45745</v>
      </c>
      <c r="D1548" t="s">
        <v>15</v>
      </c>
      <c r="E1548" t="s">
        <v>17</v>
      </c>
      <c r="F1548" t="s">
        <v>25</v>
      </c>
      <c r="G1548">
        <v>18</v>
      </c>
    </row>
    <row r="1549" spans="1:7" x14ac:dyDescent="0.3">
      <c r="A1549">
        <v>1548</v>
      </c>
      <c r="B1549">
        <v>1047</v>
      </c>
      <c r="C1549" s="1">
        <v>45745</v>
      </c>
      <c r="D1549" t="s">
        <v>15</v>
      </c>
      <c r="E1549" t="s">
        <v>18</v>
      </c>
      <c r="F1549" t="s">
        <v>29</v>
      </c>
      <c r="G1549">
        <v>5</v>
      </c>
    </row>
    <row r="1550" spans="1:7" x14ac:dyDescent="0.3">
      <c r="A1550">
        <v>1549</v>
      </c>
      <c r="B1550">
        <v>1047</v>
      </c>
      <c r="C1550" s="1">
        <v>45745</v>
      </c>
      <c r="D1550" t="s">
        <v>15</v>
      </c>
      <c r="E1550" t="s">
        <v>18</v>
      </c>
      <c r="F1550" t="s">
        <v>28</v>
      </c>
      <c r="G1550">
        <v>40</v>
      </c>
    </row>
    <row r="1551" spans="1:7" x14ac:dyDescent="0.3">
      <c r="A1551">
        <v>1550</v>
      </c>
      <c r="B1551">
        <v>1050</v>
      </c>
      <c r="C1551" s="1">
        <v>45745</v>
      </c>
      <c r="D1551" t="s">
        <v>20</v>
      </c>
      <c r="E1551" t="s">
        <v>17</v>
      </c>
      <c r="F1551" t="s">
        <v>28</v>
      </c>
      <c r="G1551">
        <v>10</v>
      </c>
    </row>
    <row r="1552" spans="1:7" x14ac:dyDescent="0.3">
      <c r="A1552">
        <v>1551</v>
      </c>
      <c r="B1552">
        <v>1052</v>
      </c>
      <c r="C1552" s="1">
        <v>45745</v>
      </c>
      <c r="D1552" t="s">
        <v>20</v>
      </c>
      <c r="E1552" t="s">
        <v>19</v>
      </c>
      <c r="F1552" t="s">
        <v>25</v>
      </c>
      <c r="G1552">
        <v>57</v>
      </c>
    </row>
    <row r="1553" spans="1:7" x14ac:dyDescent="0.3">
      <c r="A1553">
        <v>1552</v>
      </c>
      <c r="B1553">
        <v>1055</v>
      </c>
      <c r="C1553" s="1">
        <v>45745</v>
      </c>
      <c r="D1553" t="s">
        <v>21</v>
      </c>
      <c r="E1553" t="s">
        <v>18</v>
      </c>
      <c r="F1553" t="s">
        <v>28</v>
      </c>
      <c r="G1553">
        <v>141</v>
      </c>
    </row>
    <row r="1554" spans="1:7" x14ac:dyDescent="0.3">
      <c r="A1554">
        <v>1553</v>
      </c>
      <c r="B1554">
        <v>1056</v>
      </c>
      <c r="C1554" s="1">
        <v>45745</v>
      </c>
      <c r="D1554" t="s">
        <v>21</v>
      </c>
      <c r="E1554" t="s">
        <v>19</v>
      </c>
      <c r="F1554" t="s">
        <v>26</v>
      </c>
      <c r="G1554">
        <v>18</v>
      </c>
    </row>
    <row r="1555" spans="1:7" x14ac:dyDescent="0.3">
      <c r="A1555">
        <v>1554</v>
      </c>
      <c r="B1555">
        <v>1057</v>
      </c>
      <c r="C1555" s="1">
        <v>45746</v>
      </c>
      <c r="D1555" t="s">
        <v>15</v>
      </c>
      <c r="E1555" t="s">
        <v>16</v>
      </c>
      <c r="F1555" t="s">
        <v>25</v>
      </c>
      <c r="G1555">
        <v>10</v>
      </c>
    </row>
    <row r="1556" spans="1:7" x14ac:dyDescent="0.3">
      <c r="A1556">
        <v>1555</v>
      </c>
      <c r="B1556">
        <v>1058</v>
      </c>
      <c r="C1556" s="1">
        <v>45746</v>
      </c>
      <c r="D1556" t="s">
        <v>15</v>
      </c>
      <c r="E1556" t="s">
        <v>17</v>
      </c>
      <c r="F1556" t="s">
        <v>27</v>
      </c>
      <c r="G1556">
        <v>18</v>
      </c>
    </row>
    <row r="1557" spans="1:7" x14ac:dyDescent="0.3">
      <c r="A1557">
        <v>1556</v>
      </c>
      <c r="B1557">
        <v>1059</v>
      </c>
      <c r="C1557" s="1">
        <v>45746</v>
      </c>
      <c r="D1557" t="s">
        <v>15</v>
      </c>
      <c r="E1557" t="s">
        <v>18</v>
      </c>
      <c r="F1557" t="s">
        <v>25</v>
      </c>
      <c r="G1557">
        <v>28</v>
      </c>
    </row>
    <row r="1558" spans="1:7" x14ac:dyDescent="0.3">
      <c r="A1558">
        <v>1557</v>
      </c>
      <c r="B1558">
        <v>1059</v>
      </c>
      <c r="C1558" s="1">
        <v>45746</v>
      </c>
      <c r="D1558" t="s">
        <v>15</v>
      </c>
      <c r="E1558" t="s">
        <v>18</v>
      </c>
      <c r="F1558" t="s">
        <v>30</v>
      </c>
      <c r="G1558">
        <v>14</v>
      </c>
    </row>
    <row r="1559" spans="1:7" x14ac:dyDescent="0.3">
      <c r="A1559">
        <v>1558</v>
      </c>
      <c r="B1559">
        <v>1061</v>
      </c>
      <c r="C1559" s="1">
        <v>45746</v>
      </c>
      <c r="D1559" t="s">
        <v>20</v>
      </c>
      <c r="E1559" t="s">
        <v>16</v>
      </c>
      <c r="F1559" t="s">
        <v>27</v>
      </c>
      <c r="G1559">
        <v>10</v>
      </c>
    </row>
    <row r="1560" spans="1:7" x14ac:dyDescent="0.3">
      <c r="A1560">
        <v>1559</v>
      </c>
      <c r="B1560">
        <v>1061</v>
      </c>
      <c r="C1560" s="1">
        <v>45746</v>
      </c>
      <c r="D1560" t="s">
        <v>20</v>
      </c>
      <c r="E1560" t="s">
        <v>16</v>
      </c>
      <c r="F1560" t="s">
        <v>27</v>
      </c>
      <c r="G1560">
        <v>5</v>
      </c>
    </row>
    <row r="1561" spans="1:7" x14ac:dyDescent="0.3">
      <c r="A1561">
        <v>1560</v>
      </c>
      <c r="B1561">
        <v>1063</v>
      </c>
      <c r="C1561" s="1">
        <v>45746</v>
      </c>
      <c r="D1561" t="s">
        <v>20</v>
      </c>
      <c r="E1561" t="s">
        <v>18</v>
      </c>
      <c r="F1561" t="s">
        <v>28</v>
      </c>
      <c r="G1561">
        <v>12</v>
      </c>
    </row>
    <row r="1562" spans="1:7" x14ac:dyDescent="0.3">
      <c r="A1562">
        <v>1561</v>
      </c>
      <c r="B1562">
        <v>1065</v>
      </c>
      <c r="C1562" s="1">
        <v>45746</v>
      </c>
      <c r="D1562" t="s">
        <v>21</v>
      </c>
      <c r="E1562" t="s">
        <v>16</v>
      </c>
      <c r="F1562" t="s">
        <v>27</v>
      </c>
      <c r="G1562">
        <v>20</v>
      </c>
    </row>
    <row r="1563" spans="1:7" x14ac:dyDescent="0.3">
      <c r="A1563">
        <v>1562</v>
      </c>
      <c r="B1563">
        <v>1065</v>
      </c>
      <c r="C1563" s="1">
        <v>45746</v>
      </c>
      <c r="D1563" t="s">
        <v>21</v>
      </c>
      <c r="E1563" t="s">
        <v>16</v>
      </c>
      <c r="F1563" t="s">
        <v>25</v>
      </c>
      <c r="G1563">
        <v>5</v>
      </c>
    </row>
    <row r="1564" spans="1:7" x14ac:dyDescent="0.3">
      <c r="A1564">
        <v>1563</v>
      </c>
      <c r="B1564">
        <v>1065</v>
      </c>
      <c r="C1564" s="1">
        <v>45746</v>
      </c>
      <c r="D1564" t="s">
        <v>21</v>
      </c>
      <c r="E1564" t="s">
        <v>16</v>
      </c>
      <c r="F1564" t="s">
        <v>27</v>
      </c>
      <c r="G1564">
        <v>15</v>
      </c>
    </row>
    <row r="1565" spans="1:7" x14ac:dyDescent="0.3">
      <c r="A1565">
        <v>1564</v>
      </c>
      <c r="B1565">
        <v>1065</v>
      </c>
      <c r="C1565" s="1">
        <v>45746</v>
      </c>
      <c r="D1565" t="s">
        <v>21</v>
      </c>
      <c r="E1565" t="s">
        <v>16</v>
      </c>
      <c r="F1565" t="s">
        <v>29</v>
      </c>
      <c r="G1565">
        <v>5</v>
      </c>
    </row>
    <row r="1566" spans="1:7" x14ac:dyDescent="0.3">
      <c r="A1566">
        <v>1565</v>
      </c>
      <c r="B1566">
        <v>1066</v>
      </c>
      <c r="C1566" s="1">
        <v>45746</v>
      </c>
      <c r="D1566" t="s">
        <v>21</v>
      </c>
      <c r="E1566" t="s">
        <v>17</v>
      </c>
      <c r="F1566" t="s">
        <v>27</v>
      </c>
      <c r="G1566">
        <v>5</v>
      </c>
    </row>
    <row r="1567" spans="1:7" x14ac:dyDescent="0.3">
      <c r="A1567">
        <v>1566</v>
      </c>
      <c r="B1567">
        <v>1067</v>
      </c>
      <c r="C1567" s="1">
        <v>45746</v>
      </c>
      <c r="D1567" t="s">
        <v>21</v>
      </c>
      <c r="E1567" t="s">
        <v>18</v>
      </c>
      <c r="F1567" t="s">
        <v>30</v>
      </c>
      <c r="G1567">
        <v>18</v>
      </c>
    </row>
    <row r="1568" spans="1:7" x14ac:dyDescent="0.3">
      <c r="A1568">
        <v>1567</v>
      </c>
      <c r="B1568">
        <v>1068</v>
      </c>
      <c r="C1568" s="1">
        <v>45746</v>
      </c>
      <c r="D1568" t="s">
        <v>21</v>
      </c>
      <c r="E1568" t="s">
        <v>19</v>
      </c>
      <c r="F1568" t="s">
        <v>25</v>
      </c>
      <c r="G1568">
        <v>73</v>
      </c>
    </row>
    <row r="1569" spans="1:7" x14ac:dyDescent="0.3">
      <c r="A1569">
        <v>1568</v>
      </c>
      <c r="B1569">
        <v>1068</v>
      </c>
      <c r="C1569" s="1">
        <v>45746</v>
      </c>
      <c r="D1569" t="s">
        <v>21</v>
      </c>
      <c r="E1569" t="s">
        <v>19</v>
      </c>
      <c r="F1569" t="s">
        <v>25</v>
      </c>
      <c r="G1569">
        <v>217</v>
      </c>
    </row>
    <row r="1570" spans="1:7" x14ac:dyDescent="0.3">
      <c r="A1570">
        <v>1569</v>
      </c>
      <c r="B1570">
        <v>1069</v>
      </c>
      <c r="C1570" s="1">
        <v>45747</v>
      </c>
      <c r="D1570" t="s">
        <v>15</v>
      </c>
      <c r="E1570" t="s">
        <v>16</v>
      </c>
      <c r="F1570" t="s">
        <v>29</v>
      </c>
      <c r="G1570">
        <v>13</v>
      </c>
    </row>
    <row r="1571" spans="1:7" x14ac:dyDescent="0.3">
      <c r="A1571">
        <v>1570</v>
      </c>
      <c r="B1571">
        <v>1072</v>
      </c>
      <c r="C1571" s="1">
        <v>45747</v>
      </c>
      <c r="D1571" t="s">
        <v>15</v>
      </c>
      <c r="E1571" t="s">
        <v>19</v>
      </c>
      <c r="F1571" t="s">
        <v>25</v>
      </c>
      <c r="G1571">
        <v>126</v>
      </c>
    </row>
    <row r="1572" spans="1:7" x14ac:dyDescent="0.3">
      <c r="A1572">
        <v>1571</v>
      </c>
      <c r="B1572">
        <v>1072</v>
      </c>
      <c r="C1572" s="1">
        <v>45747</v>
      </c>
      <c r="D1572" t="s">
        <v>15</v>
      </c>
      <c r="E1572" t="s">
        <v>19</v>
      </c>
      <c r="F1572" t="s">
        <v>25</v>
      </c>
      <c r="G1572">
        <v>86</v>
      </c>
    </row>
    <row r="1573" spans="1:7" x14ac:dyDescent="0.3">
      <c r="A1573">
        <v>1572</v>
      </c>
      <c r="B1573">
        <v>1074</v>
      </c>
      <c r="C1573" s="1">
        <v>45747</v>
      </c>
      <c r="D1573" t="s">
        <v>20</v>
      </c>
      <c r="E1573" t="s">
        <v>17</v>
      </c>
      <c r="F1573" t="s">
        <v>25</v>
      </c>
      <c r="G1573">
        <v>5</v>
      </c>
    </row>
    <row r="1574" spans="1:7" x14ac:dyDescent="0.3">
      <c r="A1574">
        <v>1573</v>
      </c>
      <c r="B1574">
        <v>1075</v>
      </c>
      <c r="C1574" s="1">
        <v>45747</v>
      </c>
      <c r="D1574" t="s">
        <v>20</v>
      </c>
      <c r="E1574" t="s">
        <v>18</v>
      </c>
      <c r="F1574" t="s">
        <v>27</v>
      </c>
      <c r="G1574">
        <v>20</v>
      </c>
    </row>
    <row r="1575" spans="1:7" x14ac:dyDescent="0.3">
      <c r="A1575">
        <v>1574</v>
      </c>
      <c r="B1575">
        <v>1076</v>
      </c>
      <c r="C1575" s="1">
        <v>45747</v>
      </c>
      <c r="D1575" t="s">
        <v>20</v>
      </c>
      <c r="E1575" t="s">
        <v>19</v>
      </c>
      <c r="F1575" t="s">
        <v>26</v>
      </c>
      <c r="G1575">
        <v>39</v>
      </c>
    </row>
    <row r="1576" spans="1:7" x14ac:dyDescent="0.3">
      <c r="A1576">
        <v>1575</v>
      </c>
      <c r="B1576">
        <v>1077</v>
      </c>
      <c r="C1576" s="1">
        <v>45747</v>
      </c>
      <c r="D1576" t="s">
        <v>21</v>
      </c>
      <c r="E1576" t="s">
        <v>16</v>
      </c>
      <c r="F1576" t="s">
        <v>26</v>
      </c>
      <c r="G1576">
        <v>5</v>
      </c>
    </row>
    <row r="1577" spans="1:7" x14ac:dyDescent="0.3">
      <c r="A1577">
        <v>1576</v>
      </c>
      <c r="B1577">
        <v>1078</v>
      </c>
      <c r="C1577" s="1">
        <v>45747</v>
      </c>
      <c r="D1577" t="s">
        <v>21</v>
      </c>
      <c r="E1577" t="s">
        <v>17</v>
      </c>
      <c r="F1577" t="s">
        <v>25</v>
      </c>
      <c r="G1577">
        <v>94</v>
      </c>
    </row>
    <row r="1578" spans="1:7" x14ac:dyDescent="0.3">
      <c r="A1578">
        <v>1577</v>
      </c>
      <c r="B1578">
        <v>1078</v>
      </c>
      <c r="C1578" s="1">
        <v>45747</v>
      </c>
      <c r="D1578" t="s">
        <v>21</v>
      </c>
      <c r="E1578" t="s">
        <v>17</v>
      </c>
      <c r="F1578" t="s">
        <v>25</v>
      </c>
      <c r="G1578">
        <v>6</v>
      </c>
    </row>
    <row r="1579" spans="1:7" x14ac:dyDescent="0.3">
      <c r="A1579">
        <v>1578</v>
      </c>
      <c r="B1579">
        <v>1080</v>
      </c>
      <c r="C1579" s="1">
        <v>45747</v>
      </c>
      <c r="D1579" t="s">
        <v>21</v>
      </c>
      <c r="E1579" t="s">
        <v>19</v>
      </c>
      <c r="F1579" t="s">
        <v>29</v>
      </c>
      <c r="G1579">
        <v>18</v>
      </c>
    </row>
    <row r="1580" spans="1:7" x14ac:dyDescent="0.3">
      <c r="A1580">
        <v>1579</v>
      </c>
      <c r="B1580">
        <v>1080</v>
      </c>
      <c r="C1580" s="1">
        <v>45747</v>
      </c>
      <c r="D1580" t="s">
        <v>21</v>
      </c>
      <c r="E1580" t="s">
        <v>19</v>
      </c>
      <c r="F1580" t="s">
        <v>25</v>
      </c>
      <c r="G1580">
        <v>114</v>
      </c>
    </row>
    <row r="1581" spans="1:7" x14ac:dyDescent="0.3">
      <c r="A1581">
        <v>1580</v>
      </c>
      <c r="B1581">
        <v>1080</v>
      </c>
      <c r="C1581" s="1">
        <v>45747</v>
      </c>
      <c r="D1581" t="s">
        <v>21</v>
      </c>
      <c r="E1581" t="s">
        <v>19</v>
      </c>
      <c r="F1581" t="s">
        <v>30</v>
      </c>
      <c r="G1581">
        <v>19</v>
      </c>
    </row>
    <row r="1582" spans="1:7" x14ac:dyDescent="0.3">
      <c r="A1582">
        <v>1581</v>
      </c>
      <c r="B1582">
        <v>1080</v>
      </c>
      <c r="C1582" s="1">
        <v>45747</v>
      </c>
      <c r="D1582" t="s">
        <v>21</v>
      </c>
      <c r="E1582" t="s">
        <v>19</v>
      </c>
      <c r="F1582" t="s">
        <v>26</v>
      </c>
      <c r="G1582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1241-13AC-455F-B7EA-9449C7695FE5}">
  <dimension ref="B3:E62"/>
  <sheetViews>
    <sheetView zoomScale="80" zoomScaleNormal="80" workbookViewId="0">
      <selection activeCell="I58" sqref="I58"/>
    </sheetView>
  </sheetViews>
  <sheetFormatPr baseColWidth="10" defaultRowHeight="14.4" x14ac:dyDescent="0.3"/>
  <cols>
    <col min="2" max="2" width="28" bestFit="1" customWidth="1"/>
    <col min="3" max="3" width="21.21875" bestFit="1" customWidth="1"/>
    <col min="4" max="4" width="12.5546875" bestFit="1" customWidth="1"/>
  </cols>
  <sheetData>
    <row r="3" spans="2:5" x14ac:dyDescent="0.3">
      <c r="B3" s="2" t="s">
        <v>31</v>
      </c>
      <c r="C3" s="2" t="s">
        <v>32</v>
      </c>
      <c r="D3" s="2" t="s">
        <v>33</v>
      </c>
      <c r="E3" s="2" t="s">
        <v>34</v>
      </c>
    </row>
    <row r="4" spans="2:5" x14ac:dyDescent="0.3">
      <c r="B4" s="5">
        <f>AVERAGE(producccion_oee[OEE])</f>
        <v>0.74800939429012225</v>
      </c>
      <c r="C4" s="5">
        <f>AVERAGE(producccion_oee[Disponibilidad])</f>
        <v>0.89657986111111199</v>
      </c>
      <c r="D4" s="5">
        <f>AVERAGE(producccion_oee[Rendimiento])</f>
        <v>0.86356760485922357</v>
      </c>
      <c r="E4" s="5">
        <f>AVERAGE(producccion_oee[Calidad])</f>
        <v>0.96546013933160835</v>
      </c>
    </row>
    <row r="6" spans="2:5" x14ac:dyDescent="0.3">
      <c r="B6" s="3" t="s">
        <v>35</v>
      </c>
      <c r="C6" t="s">
        <v>37</v>
      </c>
    </row>
    <row r="7" spans="2:5" x14ac:dyDescent="0.3">
      <c r="B7" s="4" t="s">
        <v>16</v>
      </c>
      <c r="C7" s="6">
        <v>0.74277314814814877</v>
      </c>
    </row>
    <row r="8" spans="2:5" x14ac:dyDescent="0.3">
      <c r="B8" s="4" t="s">
        <v>17</v>
      </c>
      <c r="C8" s="6">
        <v>0.74993171296296302</v>
      </c>
    </row>
    <row r="9" spans="2:5" x14ac:dyDescent="0.3">
      <c r="B9" s="4" t="s">
        <v>18</v>
      </c>
      <c r="C9" s="6">
        <v>0.7450462962962966</v>
      </c>
    </row>
    <row r="10" spans="2:5" x14ac:dyDescent="0.3">
      <c r="B10" s="4" t="s">
        <v>19</v>
      </c>
      <c r="C10" s="6">
        <v>0.75428641975308663</v>
      </c>
    </row>
    <row r="11" spans="2:5" x14ac:dyDescent="0.3">
      <c r="B11" s="4" t="s">
        <v>36</v>
      </c>
      <c r="C11" s="6">
        <v>0.74800939429012336</v>
      </c>
    </row>
    <row r="13" spans="2:5" x14ac:dyDescent="0.3">
      <c r="C13" s="6">
        <f>C7</f>
        <v>0.74277314814814877</v>
      </c>
    </row>
    <row r="14" spans="2:5" x14ac:dyDescent="0.3">
      <c r="C14" s="6">
        <f t="shared" ref="C14:C16" si="0">C8</f>
        <v>0.74993171296296302</v>
      </c>
    </row>
    <row r="15" spans="2:5" x14ac:dyDescent="0.3">
      <c r="C15" s="6">
        <f t="shared" si="0"/>
        <v>0.7450462962962966</v>
      </c>
    </row>
    <row r="16" spans="2:5" x14ac:dyDescent="0.3">
      <c r="C16" s="6">
        <f t="shared" si="0"/>
        <v>0.75428641975308663</v>
      </c>
    </row>
    <row r="19" spans="2:3" x14ac:dyDescent="0.3">
      <c r="B19" s="3" t="s">
        <v>35</v>
      </c>
      <c r="C19" t="s">
        <v>37</v>
      </c>
    </row>
    <row r="20" spans="2:3" x14ac:dyDescent="0.3">
      <c r="B20" s="4" t="s">
        <v>38</v>
      </c>
      <c r="C20" s="6">
        <v>0.72179761904761908</v>
      </c>
    </row>
    <row r="21" spans="2:3" x14ac:dyDescent="0.3">
      <c r="B21" s="4" t="s">
        <v>39</v>
      </c>
      <c r="C21" s="6">
        <v>0.7344595734126983</v>
      </c>
    </row>
    <row r="22" spans="2:3" x14ac:dyDescent="0.3">
      <c r="B22" s="4" t="s">
        <v>40</v>
      </c>
      <c r="C22" s="6">
        <v>0.73858407738095244</v>
      </c>
    </row>
    <row r="23" spans="2:3" x14ac:dyDescent="0.3">
      <c r="B23" s="4" t="s">
        <v>41</v>
      </c>
      <c r="C23" s="6">
        <v>0.75230679563492064</v>
      </c>
    </row>
    <row r="24" spans="2:3" x14ac:dyDescent="0.3">
      <c r="B24" s="4" t="s">
        <v>42</v>
      </c>
      <c r="C24" s="6">
        <v>0.73921825396825391</v>
      </c>
    </row>
    <row r="25" spans="2:3" x14ac:dyDescent="0.3">
      <c r="B25" s="4" t="s">
        <v>43</v>
      </c>
      <c r="C25" s="6">
        <v>0.7400691964285715</v>
      </c>
    </row>
    <row r="26" spans="2:3" x14ac:dyDescent="0.3">
      <c r="B26" s="4" t="s">
        <v>44</v>
      </c>
      <c r="C26" s="6">
        <v>0.75371651785714278</v>
      </c>
    </row>
    <row r="27" spans="2:3" x14ac:dyDescent="0.3">
      <c r="B27" s="4" t="s">
        <v>45</v>
      </c>
      <c r="C27" s="6">
        <v>0.75387053571428575</v>
      </c>
    </row>
    <row r="28" spans="2:3" x14ac:dyDescent="0.3">
      <c r="B28" s="4" t="s">
        <v>46</v>
      </c>
      <c r="C28" s="6">
        <v>0.7649347718253966</v>
      </c>
    </row>
    <row r="29" spans="2:3" x14ac:dyDescent="0.3">
      <c r="B29" s="4" t="s">
        <v>47</v>
      </c>
      <c r="C29" s="6">
        <v>0.74959523809523809</v>
      </c>
    </row>
    <row r="30" spans="2:3" x14ac:dyDescent="0.3">
      <c r="B30" s="4" t="s">
        <v>48</v>
      </c>
      <c r="C30" s="6">
        <v>0.73590128968253965</v>
      </c>
    </row>
    <row r="31" spans="2:3" x14ac:dyDescent="0.3">
      <c r="B31" s="4" t="s">
        <v>49</v>
      </c>
      <c r="C31" s="6">
        <v>0.77679588293650781</v>
      </c>
    </row>
    <row r="32" spans="2:3" x14ac:dyDescent="0.3">
      <c r="B32" s="4" t="s">
        <v>50</v>
      </c>
      <c r="C32" s="6">
        <v>0.76534953703703712</v>
      </c>
    </row>
    <row r="33" spans="2:5" x14ac:dyDescent="0.3">
      <c r="B33" s="4" t="s">
        <v>36</v>
      </c>
      <c r="C33" s="6">
        <v>0.74800939429012225</v>
      </c>
    </row>
    <row r="36" spans="2:5" x14ac:dyDescent="0.3">
      <c r="B36" s="3" t="s">
        <v>35</v>
      </c>
      <c r="C36" t="s">
        <v>37</v>
      </c>
      <c r="E36">
        <v>0.85</v>
      </c>
    </row>
    <row r="37" spans="2:5" x14ac:dyDescent="0.3">
      <c r="B37" s="4" t="s">
        <v>15</v>
      </c>
      <c r="C37" s="6">
        <v>0.75116498842592594</v>
      </c>
    </row>
    <row r="38" spans="2:5" x14ac:dyDescent="0.3">
      <c r="B38" s="4" t="s">
        <v>21</v>
      </c>
      <c r="C38" s="6">
        <v>0.73778055555555588</v>
      </c>
    </row>
    <row r="39" spans="2:5" x14ac:dyDescent="0.3">
      <c r="B39" s="4" t="s">
        <v>20</v>
      </c>
      <c r="C39" s="6">
        <v>0.75508263888888871</v>
      </c>
    </row>
    <row r="40" spans="2:5" x14ac:dyDescent="0.3">
      <c r="B40" s="4" t="s">
        <v>36</v>
      </c>
      <c r="C40" s="6">
        <v>0.74800939429012303</v>
      </c>
    </row>
    <row r="45" spans="2:5" x14ac:dyDescent="0.3">
      <c r="B45" s="3" t="s">
        <v>35</v>
      </c>
      <c r="C45" t="s">
        <v>51</v>
      </c>
    </row>
    <row r="46" spans="2:5" x14ac:dyDescent="0.3">
      <c r="B46" s="4" t="s">
        <v>30</v>
      </c>
      <c r="C46" s="7">
        <v>2256</v>
      </c>
    </row>
    <row r="47" spans="2:5" x14ac:dyDescent="0.3">
      <c r="B47" s="4" t="s">
        <v>27</v>
      </c>
      <c r="C47" s="7">
        <v>7946</v>
      </c>
    </row>
    <row r="48" spans="2:5" x14ac:dyDescent="0.3">
      <c r="B48" s="4" t="s">
        <v>25</v>
      </c>
      <c r="C48" s="7">
        <v>25369</v>
      </c>
    </row>
    <row r="49" spans="2:3" x14ac:dyDescent="0.3">
      <c r="B49" s="4" t="s">
        <v>26</v>
      </c>
      <c r="C49" s="7">
        <v>7521</v>
      </c>
    </row>
    <row r="50" spans="2:3" x14ac:dyDescent="0.3">
      <c r="B50" s="4" t="s">
        <v>29</v>
      </c>
      <c r="C50" s="7">
        <v>3401</v>
      </c>
    </row>
    <row r="51" spans="2:3" x14ac:dyDescent="0.3">
      <c r="B51" s="4" t="s">
        <v>28</v>
      </c>
      <c r="C51" s="7">
        <v>7153</v>
      </c>
    </row>
    <row r="52" spans="2:3" x14ac:dyDescent="0.3">
      <c r="B52" s="4" t="s">
        <v>36</v>
      </c>
      <c r="C52" s="7">
        <v>53646</v>
      </c>
    </row>
    <row r="55" spans="2:3" x14ac:dyDescent="0.3">
      <c r="B55" s="3" t="s">
        <v>35</v>
      </c>
      <c r="C55" t="s">
        <v>51</v>
      </c>
    </row>
    <row r="56" spans="2:3" x14ac:dyDescent="0.3">
      <c r="B56" s="4" t="s">
        <v>30</v>
      </c>
      <c r="C56" s="7">
        <v>2256</v>
      </c>
    </row>
    <row r="57" spans="2:3" x14ac:dyDescent="0.3">
      <c r="B57" s="4" t="s">
        <v>27</v>
      </c>
      <c r="C57" s="7">
        <v>7946</v>
      </c>
    </row>
    <row r="58" spans="2:3" x14ac:dyDescent="0.3">
      <c r="B58" s="4" t="s">
        <v>25</v>
      </c>
      <c r="C58" s="7">
        <v>25369</v>
      </c>
    </row>
    <row r="59" spans="2:3" x14ac:dyDescent="0.3">
      <c r="B59" s="4" t="s">
        <v>26</v>
      </c>
      <c r="C59" s="7">
        <v>7521</v>
      </c>
    </row>
    <row r="60" spans="2:3" x14ac:dyDescent="0.3">
      <c r="B60" s="4" t="s">
        <v>29</v>
      </c>
      <c r="C60" s="7">
        <v>3401</v>
      </c>
    </row>
    <row r="61" spans="2:3" x14ac:dyDescent="0.3">
      <c r="B61" s="4" t="s">
        <v>28</v>
      </c>
      <c r="C61" s="7">
        <v>7153</v>
      </c>
    </row>
    <row r="62" spans="2:3" x14ac:dyDescent="0.3">
      <c r="B62" s="4" t="s">
        <v>36</v>
      </c>
      <c r="C62" s="7">
        <v>53646</v>
      </c>
    </row>
  </sheetData>
  <pageMargins left="0.7" right="0.7" top="0.75" bottom="0.75" header="0.3" footer="0.3"/>
  <pageSetup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F8E8-3759-4ED3-A06D-906A2915C62A}">
  <dimension ref="A1"/>
  <sheetViews>
    <sheetView tabSelected="1" zoomScale="60" zoomScaleNormal="60" workbookViewId="0">
      <selection activeCell="Y20" sqref="Y20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3B9882-6B4B-4ACE-8700-E9B4E0921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producccion_oee</vt:lpstr>
      <vt:lpstr>paros_export</vt:lpstr>
      <vt:lpstr>Analisis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PEREZ ITURBE</dc:creator>
  <cp:lastModifiedBy>Jorge Perez</cp:lastModifiedBy>
  <dcterms:created xsi:type="dcterms:W3CDTF">2026-09-27T01:56:48Z</dcterms:created>
  <dcterms:modified xsi:type="dcterms:W3CDTF">2026-09-27T17:53:35Z</dcterms:modified>
</cp:coreProperties>
</file>